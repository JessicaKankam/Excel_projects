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nthers-my.sharepoint.com/personal/jkankam_uwm_edu/Documents/BackUp Media/Self Learning/Financial Modeling/"/>
    </mc:Choice>
  </mc:AlternateContent>
  <xr:revisionPtr revIDLastSave="1040" documentId="8_{D900BDFF-27D0-4B6B-9EEE-396D89A681C7}" xr6:coauthVersionLast="47" xr6:coauthVersionMax="47" xr10:uidLastSave="{22036874-7885-409E-8646-7D066B1A4AD8}"/>
  <bookViews>
    <workbookView xWindow="-110" yWindow="-110" windowWidth="19420" windowHeight="10660" activeTab="1" xr2:uid="{DC5CDEDD-7B4B-4605-A333-C52CF9A6EBF5}"/>
  </bookViews>
  <sheets>
    <sheet name="Historical Data" sheetId="1" r:id="rId1"/>
    <sheet name="3 Statement Model" sheetId="2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3" l="1"/>
  <c r="F26" i="3"/>
  <c r="E26" i="3"/>
  <c r="D26" i="3"/>
  <c r="C26" i="3"/>
  <c r="O25" i="3"/>
  <c r="N25" i="3"/>
  <c r="M25" i="3"/>
  <c r="L25" i="3"/>
  <c r="K25" i="3"/>
  <c r="J25" i="3"/>
  <c r="I25" i="3"/>
  <c r="H25" i="3"/>
  <c r="D31" i="3"/>
  <c r="E31" i="3"/>
  <c r="F31" i="3"/>
  <c r="G31" i="3"/>
  <c r="C31" i="3"/>
  <c r="I30" i="3"/>
  <c r="J30" i="3"/>
  <c r="K30" i="3"/>
  <c r="L30" i="3"/>
  <c r="M30" i="3"/>
  <c r="N30" i="3"/>
  <c r="O30" i="3"/>
  <c r="H30" i="3"/>
  <c r="D22" i="3"/>
  <c r="E22" i="3"/>
  <c r="F22" i="3"/>
  <c r="G22" i="3"/>
  <c r="C22" i="3"/>
  <c r="I21" i="3"/>
  <c r="J21" i="3"/>
  <c r="K21" i="3"/>
  <c r="L21" i="3"/>
  <c r="M21" i="3"/>
  <c r="N21" i="3"/>
  <c r="O21" i="3"/>
  <c r="H21" i="3"/>
  <c r="D28" i="3"/>
  <c r="E28" i="3"/>
  <c r="F28" i="3"/>
  <c r="G28" i="3"/>
  <c r="H28" i="3"/>
  <c r="I28" i="3"/>
  <c r="J28" i="3"/>
  <c r="K28" i="3"/>
  <c r="L28" i="3"/>
  <c r="M28" i="3"/>
  <c r="N28" i="3"/>
  <c r="O28" i="3"/>
  <c r="C28" i="3"/>
  <c r="D27" i="3"/>
  <c r="D29" i="3" s="1"/>
  <c r="D30" i="3" s="1"/>
  <c r="E27" i="3"/>
  <c r="E29" i="3" s="1"/>
  <c r="E30" i="3" s="1"/>
  <c r="F27" i="3"/>
  <c r="G27" i="3"/>
  <c r="H27" i="3"/>
  <c r="H29" i="3" s="1"/>
  <c r="I27" i="3"/>
  <c r="I29" i="3" s="1"/>
  <c r="I31" i="3" s="1"/>
  <c r="J27" i="3"/>
  <c r="J29" i="3" s="1"/>
  <c r="J31" i="3" s="1"/>
  <c r="K27" i="3"/>
  <c r="K29" i="3" s="1"/>
  <c r="K31" i="3" s="1"/>
  <c r="L27" i="3"/>
  <c r="L29" i="3" s="1"/>
  <c r="L31" i="3" s="1"/>
  <c r="M27" i="3"/>
  <c r="M29" i="3" s="1"/>
  <c r="M31" i="3" s="1"/>
  <c r="N27" i="3"/>
  <c r="O27" i="3"/>
  <c r="O29" i="3" s="1"/>
  <c r="C27" i="3"/>
  <c r="C29" i="3" s="1"/>
  <c r="C30" i="3" s="1"/>
  <c r="D24" i="3"/>
  <c r="D25" i="3" s="1"/>
  <c r="E24" i="3"/>
  <c r="E25" i="3" s="1"/>
  <c r="F24" i="3"/>
  <c r="F25" i="3" s="1"/>
  <c r="G24" i="3"/>
  <c r="G25" i="3" s="1"/>
  <c r="H24" i="3"/>
  <c r="H26" i="3" s="1"/>
  <c r="I24" i="3"/>
  <c r="I26" i="3" s="1"/>
  <c r="J24" i="3"/>
  <c r="J26" i="3" s="1"/>
  <c r="K24" i="3"/>
  <c r="K26" i="3" s="1"/>
  <c r="L24" i="3"/>
  <c r="L26" i="3" s="1"/>
  <c r="M24" i="3"/>
  <c r="M26" i="3" s="1"/>
  <c r="N24" i="3"/>
  <c r="N26" i="3" s="1"/>
  <c r="O24" i="3"/>
  <c r="O26" i="3" s="1"/>
  <c r="C24" i="3"/>
  <c r="C25" i="3" s="1"/>
  <c r="D23" i="3"/>
  <c r="E23" i="3"/>
  <c r="F23" i="3"/>
  <c r="G23" i="3"/>
  <c r="H23" i="3"/>
  <c r="E3" i="3" s="1"/>
  <c r="I23" i="3"/>
  <c r="J23" i="3"/>
  <c r="K23" i="3"/>
  <c r="L23" i="3"/>
  <c r="M23" i="3"/>
  <c r="N23" i="3"/>
  <c r="O23" i="3"/>
  <c r="G3" i="3" s="1"/>
  <c r="C23" i="3"/>
  <c r="D20" i="3"/>
  <c r="D21" i="3" s="1"/>
  <c r="E20" i="3"/>
  <c r="E21" i="3" s="1"/>
  <c r="F20" i="3"/>
  <c r="F21" i="3" s="1"/>
  <c r="G20" i="3"/>
  <c r="G21" i="3" s="1"/>
  <c r="H20" i="3"/>
  <c r="H22" i="3" s="1"/>
  <c r="I20" i="3"/>
  <c r="I22" i="3" s="1"/>
  <c r="J20" i="3"/>
  <c r="J22" i="3" s="1"/>
  <c r="K20" i="3"/>
  <c r="K22" i="3" s="1"/>
  <c r="L20" i="3"/>
  <c r="L22" i="3" s="1"/>
  <c r="M20" i="3"/>
  <c r="M22" i="3" s="1"/>
  <c r="N20" i="3"/>
  <c r="N22" i="3" s="1"/>
  <c r="O20" i="3"/>
  <c r="C20" i="3"/>
  <c r="C21" i="3" s="1"/>
  <c r="N19" i="3"/>
  <c r="O19" i="3"/>
  <c r="D19" i="3"/>
  <c r="E19" i="3"/>
  <c r="F19" i="3"/>
  <c r="G19" i="3"/>
  <c r="H19" i="3"/>
  <c r="I19" i="3"/>
  <c r="J19" i="3"/>
  <c r="K19" i="3"/>
  <c r="L19" i="3"/>
  <c r="M19" i="3"/>
  <c r="C19" i="3"/>
  <c r="G76" i="2"/>
  <c r="H76" i="2"/>
  <c r="I76" i="2"/>
  <c r="J76" i="2"/>
  <c r="K76" i="2"/>
  <c r="L76" i="2"/>
  <c r="M76" i="2"/>
  <c r="N76" i="2"/>
  <c r="D99" i="2"/>
  <c r="E99" i="2"/>
  <c r="F99" i="2"/>
  <c r="C99" i="2"/>
  <c r="D98" i="2"/>
  <c r="E98" i="2"/>
  <c r="F98" i="2"/>
  <c r="C98" i="2"/>
  <c r="D97" i="2"/>
  <c r="E97" i="2"/>
  <c r="F97" i="2"/>
  <c r="C97" i="2"/>
  <c r="B99" i="2"/>
  <c r="B98" i="2"/>
  <c r="B97" i="2"/>
  <c r="B100" i="2" s="1"/>
  <c r="C94" i="2"/>
  <c r="D94" i="2"/>
  <c r="E94" i="2"/>
  <c r="F94" i="2"/>
  <c r="G91" i="2" s="1"/>
  <c r="B94" i="2"/>
  <c r="C86" i="2"/>
  <c r="D86" i="2"/>
  <c r="E86" i="2"/>
  <c r="F86" i="2"/>
  <c r="B86" i="2"/>
  <c r="C87" i="2"/>
  <c r="D87" i="2"/>
  <c r="E87" i="2"/>
  <c r="F87" i="2"/>
  <c r="B87" i="2"/>
  <c r="C88" i="2"/>
  <c r="D88" i="2"/>
  <c r="E88" i="2"/>
  <c r="F88" i="2"/>
  <c r="G85" i="2" s="1"/>
  <c r="B88" i="2"/>
  <c r="H52" i="2"/>
  <c r="H53" i="2" s="1"/>
  <c r="I52" i="2"/>
  <c r="I53" i="2" s="1"/>
  <c r="J52" i="2"/>
  <c r="J53" i="2" s="1"/>
  <c r="K52" i="2"/>
  <c r="K53" i="2" s="1"/>
  <c r="L52" i="2"/>
  <c r="L53" i="2" s="1"/>
  <c r="M52" i="2"/>
  <c r="M53" i="2" s="1"/>
  <c r="N52" i="2"/>
  <c r="N53" i="2" s="1"/>
  <c r="G52" i="2"/>
  <c r="G53" i="2" s="1"/>
  <c r="H30" i="2"/>
  <c r="I30" i="2"/>
  <c r="J30" i="2"/>
  <c r="K30" i="2"/>
  <c r="L30" i="2"/>
  <c r="M30" i="2"/>
  <c r="N30" i="2"/>
  <c r="G30" i="2"/>
  <c r="G24" i="2"/>
  <c r="G88" i="2" s="1"/>
  <c r="C19" i="2"/>
  <c r="D19" i="2"/>
  <c r="E19" i="2"/>
  <c r="F19" i="2"/>
  <c r="C20" i="2"/>
  <c r="D20" i="2"/>
  <c r="E20" i="2"/>
  <c r="F20" i="2"/>
  <c r="B20" i="2"/>
  <c r="B19" i="2"/>
  <c r="C18" i="2"/>
  <c r="D18" i="2"/>
  <c r="E18" i="2"/>
  <c r="F18" i="2"/>
  <c r="C17" i="2"/>
  <c r="D17" i="2"/>
  <c r="E17" i="2"/>
  <c r="F17" i="2"/>
  <c r="B18" i="2"/>
  <c r="B17" i="2"/>
  <c r="C16" i="2"/>
  <c r="D16" i="2"/>
  <c r="E16" i="2"/>
  <c r="F16" i="2"/>
  <c r="B16" i="2"/>
  <c r="D8" i="2"/>
  <c r="E8" i="2"/>
  <c r="F8" i="2"/>
  <c r="C10" i="2"/>
  <c r="D10" i="2"/>
  <c r="E10" i="2"/>
  <c r="F10" i="2"/>
  <c r="C11" i="2"/>
  <c r="D11" i="2"/>
  <c r="E11" i="2"/>
  <c r="F11" i="2"/>
  <c r="C12" i="2"/>
  <c r="D12" i="2"/>
  <c r="E12" i="2"/>
  <c r="F12" i="2"/>
  <c r="B12" i="2"/>
  <c r="B11" i="2"/>
  <c r="B10" i="2"/>
  <c r="C8" i="2"/>
  <c r="F76" i="2"/>
  <c r="E76" i="2"/>
  <c r="D76" i="2"/>
  <c r="C76" i="2"/>
  <c r="B76" i="2"/>
  <c r="F71" i="2"/>
  <c r="E71" i="2"/>
  <c r="D71" i="2"/>
  <c r="C71" i="2"/>
  <c r="B71" i="2"/>
  <c r="F67" i="2"/>
  <c r="E67" i="2"/>
  <c r="D67" i="2"/>
  <c r="C67" i="2"/>
  <c r="B67" i="2"/>
  <c r="F56" i="2"/>
  <c r="E56" i="2"/>
  <c r="D56" i="2"/>
  <c r="C56" i="2"/>
  <c r="B56" i="2"/>
  <c r="F53" i="2"/>
  <c r="F57" i="2" s="1"/>
  <c r="E53" i="2"/>
  <c r="D53" i="2"/>
  <c r="C53" i="2"/>
  <c r="B53" i="2"/>
  <c r="F50" i="2"/>
  <c r="E50" i="2"/>
  <c r="D50" i="2"/>
  <c r="C50" i="2"/>
  <c r="B50" i="2"/>
  <c r="F44" i="2"/>
  <c r="F45" i="2" s="1"/>
  <c r="E44" i="2"/>
  <c r="E45" i="2" s="1"/>
  <c r="D44" i="2"/>
  <c r="D45" i="2" s="1"/>
  <c r="C44" i="2"/>
  <c r="C45" i="2" s="1"/>
  <c r="B44" i="2"/>
  <c r="B45" i="2" s="1"/>
  <c r="F26" i="2"/>
  <c r="E26" i="2"/>
  <c r="D26" i="2"/>
  <c r="C26" i="2"/>
  <c r="B26" i="2"/>
  <c r="C2" i="2"/>
  <c r="D2" i="2" s="1"/>
  <c r="E2" i="2" s="1"/>
  <c r="F2" i="2" s="1"/>
  <c r="B5" i="1"/>
  <c r="B10" i="1" s="1"/>
  <c r="B12" i="1" s="1"/>
  <c r="C5" i="1"/>
  <c r="C10" i="1" s="1"/>
  <c r="C12" i="1" s="1"/>
  <c r="F53" i="1"/>
  <c r="E53" i="1"/>
  <c r="D53" i="1"/>
  <c r="C53" i="1"/>
  <c r="B53" i="1"/>
  <c r="F48" i="1"/>
  <c r="E48" i="1"/>
  <c r="D48" i="1"/>
  <c r="C48" i="1"/>
  <c r="B48" i="1"/>
  <c r="F44" i="1"/>
  <c r="E44" i="1"/>
  <c r="D44" i="1"/>
  <c r="C44" i="1"/>
  <c r="B44" i="1"/>
  <c r="C31" i="1"/>
  <c r="D31" i="1"/>
  <c r="E31" i="1"/>
  <c r="F31" i="1"/>
  <c r="B31" i="1"/>
  <c r="F34" i="1"/>
  <c r="E34" i="1"/>
  <c r="D34" i="1"/>
  <c r="C34" i="1"/>
  <c r="B34" i="1"/>
  <c r="F28" i="1"/>
  <c r="E28" i="1"/>
  <c r="D28" i="1"/>
  <c r="C28" i="1"/>
  <c r="B28" i="1"/>
  <c r="F22" i="1"/>
  <c r="F23" i="1" s="1"/>
  <c r="E22" i="1"/>
  <c r="E23" i="1" s="1"/>
  <c r="D22" i="1"/>
  <c r="D23" i="1" s="1"/>
  <c r="C22" i="1"/>
  <c r="C23" i="1" s="1"/>
  <c r="B22" i="1"/>
  <c r="B23" i="1" s="1"/>
  <c r="C2" i="1"/>
  <c r="D2" i="1" s="1"/>
  <c r="E2" i="1" s="1"/>
  <c r="F2" i="1" s="1"/>
  <c r="F5" i="1"/>
  <c r="F10" i="1" s="1"/>
  <c r="F12" i="1" s="1"/>
  <c r="E5" i="1"/>
  <c r="E10" i="1" s="1"/>
  <c r="E12" i="1" s="1"/>
  <c r="D5" i="1"/>
  <c r="D10" i="1" s="1"/>
  <c r="D12" i="1" s="1"/>
  <c r="F29" i="3" l="1"/>
  <c r="F30" i="3" s="1"/>
  <c r="G29" i="3"/>
  <c r="G30" i="3" s="1"/>
  <c r="I3" i="3"/>
  <c r="H31" i="3"/>
  <c r="K3" i="3"/>
  <c r="O31" i="3"/>
  <c r="C3" i="3"/>
  <c r="O22" i="3"/>
  <c r="B3" i="3"/>
  <c r="K32" i="3"/>
  <c r="D32" i="3"/>
  <c r="E32" i="3"/>
  <c r="J32" i="3"/>
  <c r="H32" i="3"/>
  <c r="M3" i="3" s="1"/>
  <c r="F32" i="3"/>
  <c r="G32" i="3"/>
  <c r="F33" i="3"/>
  <c r="J33" i="3"/>
  <c r="N29" i="3"/>
  <c r="O33" i="3"/>
  <c r="C33" i="3"/>
  <c r="N32" i="3"/>
  <c r="O32" i="3"/>
  <c r="C32" i="3"/>
  <c r="E33" i="3"/>
  <c r="K33" i="3"/>
  <c r="M32" i="3"/>
  <c r="H33" i="3"/>
  <c r="L32" i="3"/>
  <c r="G33" i="3"/>
  <c r="M33" i="3"/>
  <c r="D33" i="3"/>
  <c r="I33" i="3"/>
  <c r="L33" i="3"/>
  <c r="I32" i="3"/>
  <c r="C85" i="2"/>
  <c r="D85" i="2"/>
  <c r="E85" i="2"/>
  <c r="F85" i="2"/>
  <c r="B85" i="2"/>
  <c r="G39" i="2"/>
  <c r="H85" i="2"/>
  <c r="D100" i="2"/>
  <c r="E100" i="2"/>
  <c r="C100" i="2"/>
  <c r="E57" i="2"/>
  <c r="G42" i="2"/>
  <c r="G97" i="2" s="1"/>
  <c r="G25" i="2"/>
  <c r="G43" i="2" s="1"/>
  <c r="G99" i="2" s="1"/>
  <c r="F31" i="2"/>
  <c r="F9" i="2"/>
  <c r="B31" i="2"/>
  <c r="B9" i="2"/>
  <c r="F78" i="2"/>
  <c r="F80" i="2" s="1"/>
  <c r="G79" i="2" s="1"/>
  <c r="H24" i="2"/>
  <c r="G28" i="2"/>
  <c r="G29" i="2"/>
  <c r="G87" i="2" s="1"/>
  <c r="E78" i="2"/>
  <c r="E80" i="2" s="1"/>
  <c r="D78" i="2"/>
  <c r="D80" i="2" s="1"/>
  <c r="C78" i="2"/>
  <c r="C80" i="2" s="1"/>
  <c r="B78" i="2"/>
  <c r="B80" i="2" s="1"/>
  <c r="D57" i="2"/>
  <c r="D58" i="2" s="1"/>
  <c r="D4" i="2" s="1"/>
  <c r="C57" i="2"/>
  <c r="C58" i="2" s="1"/>
  <c r="C4" i="2" s="1"/>
  <c r="B57" i="2"/>
  <c r="B58" i="2" s="1"/>
  <c r="B4" i="2" s="1"/>
  <c r="F58" i="2"/>
  <c r="F4" i="2" s="1"/>
  <c r="E58" i="2"/>
  <c r="E4" i="2" s="1"/>
  <c r="E31" i="2"/>
  <c r="E9" i="2"/>
  <c r="D31" i="2"/>
  <c r="D9" i="2"/>
  <c r="C31" i="2"/>
  <c r="C9" i="2"/>
  <c r="G2" i="2"/>
  <c r="H2" i="2" s="1"/>
  <c r="I2" i="2" s="1"/>
  <c r="J2" i="2" s="1"/>
  <c r="K2" i="2" s="1"/>
  <c r="L2" i="2" s="1"/>
  <c r="M2" i="2" s="1"/>
  <c r="N2" i="2" s="1"/>
  <c r="F35" i="1"/>
  <c r="F55" i="1"/>
  <c r="F57" i="1" s="1"/>
  <c r="B55" i="1"/>
  <c r="B57" i="1" s="1"/>
  <c r="E55" i="1"/>
  <c r="E57" i="1" s="1"/>
  <c r="C55" i="1"/>
  <c r="C57" i="1" s="1"/>
  <c r="D55" i="1"/>
  <c r="D57" i="1" s="1"/>
  <c r="B35" i="1"/>
  <c r="B36" i="1" s="1"/>
  <c r="E35" i="1"/>
  <c r="E36" i="1" s="1"/>
  <c r="D35" i="1"/>
  <c r="D36" i="1" s="1"/>
  <c r="C35" i="1"/>
  <c r="C36" i="1" s="1"/>
  <c r="F36" i="1"/>
  <c r="N33" i="3" l="1"/>
  <c r="N31" i="3"/>
  <c r="B33" i="2"/>
  <c r="B92" i="2" s="1"/>
  <c r="B91" i="2" s="1"/>
  <c r="B13" i="2"/>
  <c r="G26" i="2"/>
  <c r="G31" i="2" s="1"/>
  <c r="G55" i="2"/>
  <c r="H88" i="2"/>
  <c r="H42" i="2"/>
  <c r="H97" i="2" s="1"/>
  <c r="G86" i="2"/>
  <c r="G70" i="2" s="1"/>
  <c r="G71" i="2" s="1"/>
  <c r="G65" i="2"/>
  <c r="F100" i="2"/>
  <c r="F33" i="2"/>
  <c r="F92" i="2" s="1"/>
  <c r="F91" i="2" s="1"/>
  <c r="F13" i="2"/>
  <c r="I24" i="2"/>
  <c r="H25" i="2"/>
  <c r="H29" i="2"/>
  <c r="H87" i="2" s="1"/>
  <c r="H65" i="2" s="1"/>
  <c r="H28" i="2"/>
  <c r="E33" i="2"/>
  <c r="E92" i="2" s="1"/>
  <c r="E91" i="2" s="1"/>
  <c r="E13" i="2"/>
  <c r="D33" i="2"/>
  <c r="D92" i="2" s="1"/>
  <c r="D91" i="2" s="1"/>
  <c r="D13" i="2"/>
  <c r="C13" i="2"/>
  <c r="C33" i="2"/>
  <c r="C92" i="2" s="1"/>
  <c r="C91" i="2" s="1"/>
  <c r="I25" i="2" l="1"/>
  <c r="I43" i="2" s="1"/>
  <c r="J24" i="2"/>
  <c r="I28" i="2"/>
  <c r="I29" i="2"/>
  <c r="I87" i="2" s="1"/>
  <c r="I65" i="2" s="1"/>
  <c r="G56" i="2"/>
  <c r="G57" i="2" s="1"/>
  <c r="G98" i="2"/>
  <c r="G100" i="2" s="1"/>
  <c r="G66" i="2" s="1"/>
  <c r="I85" i="2"/>
  <c r="H86" i="2"/>
  <c r="H70" i="2" s="1"/>
  <c r="H71" i="2" s="1"/>
  <c r="H39" i="2"/>
  <c r="I88" i="2"/>
  <c r="I42" i="2"/>
  <c r="I97" i="2" s="1"/>
  <c r="H26" i="2"/>
  <c r="H31" i="2" s="1"/>
  <c r="H32" i="2" s="1"/>
  <c r="H33" i="2" s="1"/>
  <c r="H92" i="2" s="1"/>
  <c r="H63" i="2" s="1"/>
  <c r="H55" i="2"/>
  <c r="H43" i="2"/>
  <c r="H99" i="2" s="1"/>
  <c r="G32" i="2"/>
  <c r="G33" i="2" s="1"/>
  <c r="G92" i="2" s="1"/>
  <c r="J29" i="2" l="1"/>
  <c r="J87" i="2" s="1"/>
  <c r="J65" i="2" s="1"/>
  <c r="K24" i="2"/>
  <c r="J25" i="2"/>
  <c r="I26" i="2"/>
  <c r="I31" i="2" s="1"/>
  <c r="I55" i="2"/>
  <c r="I98" i="2" s="1"/>
  <c r="J88" i="2"/>
  <c r="J42" i="2"/>
  <c r="J97" i="2" s="1"/>
  <c r="J28" i="2"/>
  <c r="I99" i="2"/>
  <c r="J85" i="2"/>
  <c r="I86" i="2"/>
  <c r="I70" i="2" s="1"/>
  <c r="I71" i="2" s="1"/>
  <c r="I39" i="2"/>
  <c r="H98" i="2"/>
  <c r="H100" i="2" s="1"/>
  <c r="H66" i="2" s="1"/>
  <c r="H67" i="2" s="1"/>
  <c r="H78" i="2" s="1"/>
  <c r="H56" i="2"/>
  <c r="H57" i="2" s="1"/>
  <c r="I56" i="2"/>
  <c r="I57" i="2" s="1"/>
  <c r="G94" i="2"/>
  <c r="G63" i="2"/>
  <c r="G67" i="2" s="1"/>
  <c r="G78" i="2" s="1"/>
  <c r="G80" i="2" s="1"/>
  <c r="K42" i="2" l="1"/>
  <c r="K25" i="2"/>
  <c r="K88" i="2"/>
  <c r="K28" i="2"/>
  <c r="K29" i="2"/>
  <c r="K87" i="2" s="1"/>
  <c r="K65" i="2" s="1"/>
  <c r="L24" i="2"/>
  <c r="J55" i="2"/>
  <c r="J26" i="2"/>
  <c r="J43" i="2"/>
  <c r="J99" i="2" s="1"/>
  <c r="J86" i="2"/>
  <c r="J70" i="2" s="1"/>
  <c r="J71" i="2" s="1"/>
  <c r="I32" i="2"/>
  <c r="I33" i="2"/>
  <c r="I92" i="2" s="1"/>
  <c r="I63" i="2" s="1"/>
  <c r="J31" i="2"/>
  <c r="J32" i="2" s="1"/>
  <c r="J33" i="2" s="1"/>
  <c r="J92" i="2" s="1"/>
  <c r="J63" i="2" s="1"/>
  <c r="K97" i="2"/>
  <c r="K85" i="2"/>
  <c r="K86" i="2" s="1"/>
  <c r="K70" i="2" s="1"/>
  <c r="K71" i="2" s="1"/>
  <c r="J39" i="2"/>
  <c r="G49" i="2"/>
  <c r="G50" i="2" s="1"/>
  <c r="G58" i="2" s="1"/>
  <c r="H91" i="2"/>
  <c r="H94" i="2" s="1"/>
  <c r="H79" i="2"/>
  <c r="H80" i="2" s="1"/>
  <c r="G41" i="2"/>
  <c r="G44" i="2" s="1"/>
  <c r="G45" i="2" s="1"/>
  <c r="L85" i="2"/>
  <c r="K39" i="2"/>
  <c r="K26" i="2"/>
  <c r="K31" i="2" s="1"/>
  <c r="K32" i="2" s="1"/>
  <c r="K33" i="2" s="1"/>
  <c r="K92" i="2" s="1"/>
  <c r="K63" i="2" s="1"/>
  <c r="K43" i="2"/>
  <c r="K99" i="2" s="1"/>
  <c r="K55" i="2"/>
  <c r="L88" i="2"/>
  <c r="L42" i="2"/>
  <c r="L97" i="2" s="1"/>
  <c r="I100" i="2"/>
  <c r="I66" i="2" s="1"/>
  <c r="L28" i="2" l="1"/>
  <c r="L29" i="2"/>
  <c r="L87" i="2" s="1"/>
  <c r="L25" i="2"/>
  <c r="M24" i="2"/>
  <c r="J98" i="2"/>
  <c r="J56" i="2"/>
  <c r="J57" i="2" s="1"/>
  <c r="I67" i="2"/>
  <c r="I78" i="2" s="1"/>
  <c r="I79" i="2"/>
  <c r="I80" i="2" s="1"/>
  <c r="H41" i="2"/>
  <c r="H44" i="2" s="1"/>
  <c r="H45" i="2" s="1"/>
  <c r="I91" i="2"/>
  <c r="I94" i="2" s="1"/>
  <c r="H49" i="2"/>
  <c r="H50" i="2" s="1"/>
  <c r="H58" i="2" s="1"/>
  <c r="K98" i="2"/>
  <c r="K56" i="2"/>
  <c r="K57" i="2" s="1"/>
  <c r="M85" i="2"/>
  <c r="L39" i="2"/>
  <c r="G4" i="2"/>
  <c r="J100" i="2"/>
  <c r="J66" i="2" s="1"/>
  <c r="J67" i="2" s="1"/>
  <c r="J78" i="2" s="1"/>
  <c r="L65" i="2" l="1"/>
  <c r="L86" i="2"/>
  <c r="L70" i="2" s="1"/>
  <c r="L71" i="2" s="1"/>
  <c r="L55" i="2"/>
  <c r="L43" i="2"/>
  <c r="L99" i="2" s="1"/>
  <c r="L26" i="2"/>
  <c r="L31" i="2" s="1"/>
  <c r="L32" i="2" s="1"/>
  <c r="L33" i="2" s="1"/>
  <c r="L92" i="2" s="1"/>
  <c r="L63" i="2" s="1"/>
  <c r="M88" i="2"/>
  <c r="M42" i="2"/>
  <c r="M97" i="2" s="1"/>
  <c r="M29" i="2"/>
  <c r="M87" i="2" s="1"/>
  <c r="M65" i="2" s="1"/>
  <c r="M28" i="2"/>
  <c r="M25" i="2"/>
  <c r="N24" i="2"/>
  <c r="I41" i="2"/>
  <c r="I44" i="2" s="1"/>
  <c r="I45" i="2" s="1"/>
  <c r="J79" i="2"/>
  <c r="J80" i="2" s="1"/>
  <c r="H4" i="2"/>
  <c r="J91" i="2"/>
  <c r="J94" i="2" s="1"/>
  <c r="I49" i="2"/>
  <c r="I50" i="2" s="1"/>
  <c r="I58" i="2" s="1"/>
  <c r="K100" i="2"/>
  <c r="K66" i="2" s="1"/>
  <c r="K67" i="2" s="1"/>
  <c r="K78" i="2" s="1"/>
  <c r="L98" i="2" l="1"/>
  <c r="L56" i="2"/>
  <c r="L57" i="2" s="1"/>
  <c r="M86" i="2"/>
  <c r="M70" i="2" s="1"/>
  <c r="M71" i="2" s="1"/>
  <c r="N85" i="2"/>
  <c r="M39" i="2"/>
  <c r="M26" i="2"/>
  <c r="M31" i="2" s="1"/>
  <c r="M43" i="2"/>
  <c r="M99" i="2" s="1"/>
  <c r="M55" i="2"/>
  <c r="N88" i="2"/>
  <c r="N42" i="2"/>
  <c r="N97" i="2" s="1"/>
  <c r="N29" i="2"/>
  <c r="N87" i="2" s="1"/>
  <c r="N65" i="2" s="1"/>
  <c r="N28" i="2"/>
  <c r="N25" i="2"/>
  <c r="K79" i="2"/>
  <c r="J41" i="2"/>
  <c r="J44" i="2" s="1"/>
  <c r="J45" i="2" s="1"/>
  <c r="I4" i="2"/>
  <c r="K80" i="2"/>
  <c r="M32" i="2"/>
  <c r="M33" i="2" s="1"/>
  <c r="M92" i="2" s="1"/>
  <c r="M63" i="2" s="1"/>
  <c r="J49" i="2"/>
  <c r="J50" i="2" s="1"/>
  <c r="J58" i="2" s="1"/>
  <c r="K91" i="2"/>
  <c r="K94" i="2" s="1"/>
  <c r="L100" i="2"/>
  <c r="L66" i="2" s="1"/>
  <c r="L67" i="2" s="1"/>
  <c r="L78" i="2" s="1"/>
  <c r="M98" i="2" l="1"/>
  <c r="M56" i="2"/>
  <c r="M57" i="2" s="1"/>
  <c r="N39" i="2"/>
  <c r="N86" i="2"/>
  <c r="N70" i="2" s="1"/>
  <c r="N71" i="2" s="1"/>
  <c r="N26" i="2"/>
  <c r="N31" i="2" s="1"/>
  <c r="N32" i="2" s="1"/>
  <c r="N33" i="2" s="1"/>
  <c r="N92" i="2" s="1"/>
  <c r="N63" i="2" s="1"/>
  <c r="N55" i="2"/>
  <c r="N43" i="2"/>
  <c r="N99" i="2" s="1"/>
  <c r="J4" i="2"/>
  <c r="L79" i="2"/>
  <c r="L80" i="2" s="1"/>
  <c r="K41" i="2"/>
  <c r="K44" i="2" s="1"/>
  <c r="K45" i="2" s="1"/>
  <c r="K49" i="2"/>
  <c r="K50" i="2" s="1"/>
  <c r="K58" i="2" s="1"/>
  <c r="L91" i="2"/>
  <c r="L94" i="2" s="1"/>
  <c r="N56" i="2"/>
  <c r="N57" i="2" s="1"/>
  <c r="N98" i="2"/>
  <c r="N100" i="2" s="1"/>
  <c r="N66" i="2" s="1"/>
  <c r="N67" i="2" s="1"/>
  <c r="N78" i="2" s="1"/>
  <c r="M100" i="2"/>
  <c r="M66" i="2" s="1"/>
  <c r="M67" i="2" s="1"/>
  <c r="M78" i="2" s="1"/>
  <c r="K4" i="2" l="1"/>
  <c r="L41" i="2"/>
  <c r="L44" i="2" s="1"/>
  <c r="L45" i="2" s="1"/>
  <c r="M79" i="2"/>
  <c r="M80" i="2" s="1"/>
  <c r="L49" i="2"/>
  <c r="L50" i="2" s="1"/>
  <c r="L58" i="2" s="1"/>
  <c r="M91" i="2"/>
  <c r="M94" i="2" s="1"/>
  <c r="L4" i="2" l="1"/>
  <c r="M41" i="2"/>
  <c r="M44" i="2" s="1"/>
  <c r="M45" i="2" s="1"/>
  <c r="N79" i="2"/>
  <c r="N80" i="2" s="1"/>
  <c r="N41" i="2" s="1"/>
  <c r="N44" i="2" s="1"/>
  <c r="N45" i="2" s="1"/>
  <c r="M49" i="2"/>
  <c r="M50" i="2" s="1"/>
  <c r="M58" i="2" s="1"/>
  <c r="N91" i="2"/>
  <c r="N94" i="2" s="1"/>
  <c r="N49" i="2" s="1"/>
  <c r="N50" i="2" s="1"/>
  <c r="N58" i="2" s="1"/>
  <c r="M4" i="2" l="1"/>
  <c r="N4" i="2"/>
</calcChain>
</file>

<file path=xl/sharedStrings.xml><?xml version="1.0" encoding="utf-8"?>
<sst xmlns="http://schemas.openxmlformats.org/spreadsheetml/2006/main" count="153" uniqueCount="98">
  <si>
    <t>Sales Revenue</t>
  </si>
  <si>
    <t>Cost of Sales</t>
  </si>
  <si>
    <t>Gross Profit</t>
  </si>
  <si>
    <t>SG&amp;A Expense</t>
  </si>
  <si>
    <t>Depreciation Expense</t>
  </si>
  <si>
    <t>Interest Expense</t>
  </si>
  <si>
    <t>Income Before Income Taxes</t>
  </si>
  <si>
    <t>Income Taxes</t>
  </si>
  <si>
    <t>Assets</t>
  </si>
  <si>
    <t>Cash &amp; Cash Equivalents</t>
  </si>
  <si>
    <t>Accounts Receivable</t>
  </si>
  <si>
    <t>Inventories</t>
  </si>
  <si>
    <t>Total Current Assets</t>
  </si>
  <si>
    <t>Property, Plant &amp; Equipment</t>
  </si>
  <si>
    <t>Total Assets</t>
  </si>
  <si>
    <t>Accounts Payable</t>
  </si>
  <si>
    <t>Total Current Liabilities</t>
  </si>
  <si>
    <t>Long-Term Debt</t>
  </si>
  <si>
    <t>Total Liabilities</t>
  </si>
  <si>
    <t>Shareholders' Equity</t>
  </si>
  <si>
    <t>Share Capital</t>
  </si>
  <si>
    <t>Retained Earnings</t>
  </si>
  <si>
    <t>Total Shareholders' Equity</t>
  </si>
  <si>
    <t>Total Liabilities and Shareholders' Equity</t>
  </si>
  <si>
    <t>Non-current Assets</t>
  </si>
  <si>
    <t>Current Liabilities</t>
  </si>
  <si>
    <t>Non-current Liabilities</t>
  </si>
  <si>
    <t>Total</t>
  </si>
  <si>
    <t>Statement of Financial Position as at 31 December</t>
  </si>
  <si>
    <t>Operating Activities</t>
  </si>
  <si>
    <t>Adjustments For:</t>
  </si>
  <si>
    <t>Changes in Non-Cash Working Capital</t>
  </si>
  <si>
    <t>Cash Generated From Operating Activities</t>
  </si>
  <si>
    <t>Investing Activities</t>
  </si>
  <si>
    <t>Cash (Used For) Investing Activities</t>
  </si>
  <si>
    <t>Financing Activities</t>
  </si>
  <si>
    <t>Cash (Used For) Generated From Financing Activities</t>
  </si>
  <si>
    <t>Cash (Used) Generated in the Period</t>
  </si>
  <si>
    <t>Statement of Cash Flows for the years ended 31 December</t>
  </si>
  <si>
    <t>Profit after tax</t>
  </si>
  <si>
    <t>Issuance of Equity</t>
  </si>
  <si>
    <t>Repayment of Debt</t>
  </si>
  <si>
    <t>Additions to PPE</t>
  </si>
  <si>
    <t>Cash &amp; Cash Equivalents at Start</t>
  </si>
  <si>
    <t>Cash &amp; Cash Equivalents at End</t>
  </si>
  <si>
    <t>Statement of Profit or Loss for the years ended 31 December</t>
  </si>
  <si>
    <t>Current Assets</t>
  </si>
  <si>
    <t>BUILDING A 3 STATEMENT FINANCIAL MODEL</t>
  </si>
  <si>
    <t>All figures are in USD</t>
  </si>
  <si>
    <t>Assumptions and Drivers</t>
  </si>
  <si>
    <t xml:space="preserve">Statement of Profit/Loss  </t>
  </si>
  <si>
    <t>Statement of Financial Position</t>
  </si>
  <si>
    <t>Statement of Cashflows</t>
  </si>
  <si>
    <t>Sales Growth Rate</t>
  </si>
  <si>
    <t>Gross Profit Margin</t>
  </si>
  <si>
    <t>Statement of Profit/Loss:</t>
  </si>
  <si>
    <t>SG&amp;A as a % of Sales</t>
  </si>
  <si>
    <t>Depreciation Expense as a % of Sales</t>
  </si>
  <si>
    <t>Interest Expense as a % of LTD</t>
  </si>
  <si>
    <t>Tax as a % of EBT</t>
  </si>
  <si>
    <t xml:space="preserve"> </t>
  </si>
  <si>
    <t>Capital Asset Turnover Ratio</t>
  </si>
  <si>
    <t>Receivable Days (Sales Basis)</t>
  </si>
  <si>
    <t>Inventory Days (COS Basis)</t>
  </si>
  <si>
    <t>Payable Days (COS Basis)</t>
  </si>
  <si>
    <t>Long Term Liabilities (LTL)</t>
  </si>
  <si>
    <t>Number of Days</t>
  </si>
  <si>
    <t>Balance Sheet Validation Check</t>
  </si>
  <si>
    <t>Supporting Schedules</t>
  </si>
  <si>
    <t>PPE</t>
  </si>
  <si>
    <t>Balance b/f</t>
  </si>
  <si>
    <t>Additions/Disposals</t>
  </si>
  <si>
    <t>Depreciation</t>
  </si>
  <si>
    <t>Balance at end</t>
  </si>
  <si>
    <t>Dividend</t>
  </si>
  <si>
    <t>Balance at the end</t>
  </si>
  <si>
    <t>Profit for the year</t>
  </si>
  <si>
    <t>Changes in Working Capital</t>
  </si>
  <si>
    <t>Account Receivables</t>
  </si>
  <si>
    <t>Account Payables</t>
  </si>
  <si>
    <t>Inventory</t>
  </si>
  <si>
    <t>Metric</t>
  </si>
  <si>
    <t>EBITDA</t>
  </si>
  <si>
    <t>Cash From Ops (CFO)</t>
  </si>
  <si>
    <t>CapEx (Additions to PPE)</t>
  </si>
  <si>
    <t>Free Cash Flow (FCF)</t>
  </si>
  <si>
    <t>EBITDA Margin (%)</t>
  </si>
  <si>
    <t>FCF Margin (%)</t>
  </si>
  <si>
    <t>Net Income (PAT)</t>
  </si>
  <si>
    <t>Actual Revenue</t>
  </si>
  <si>
    <t>Forecast Revenue</t>
  </si>
  <si>
    <t>Actual FCF</t>
  </si>
  <si>
    <t>Forecast FCF</t>
  </si>
  <si>
    <t>Actuals through 2022, Forecast 2023–2030</t>
  </si>
  <si>
    <t>Revenue ($)- Forecast</t>
  </si>
  <si>
    <t>EBITDA - Forecast</t>
  </si>
  <si>
    <t>Free Cash Flow - Forecast</t>
  </si>
  <si>
    <t>EBITDA Margin -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</si>
</sst>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$&quot;#,##0_);\(&quot;$&quot;#,##0\)"/>
    <numFmt numFmtId="44" formatCode="_(&quot;$&quot;* #,##0.00_);_(&quot;$&quot;* \(#,##0.00\);_(&quot;$&quot;* &quot;-&quot;??_);_(@_)"/>
    <numFmt numFmtId="164" formatCode="&quot;$&quot;#,##0;\(&quot;$&quot;#,##0\)"/>
    <numFmt numFmtId="165" formatCode="&quot;$&quot;#,##0.00"/>
    <numFmt numFmtId="166" formatCode="0\A"/>
    <numFmt numFmtId="167" formatCode="0\F"/>
    <numFmt numFmtId="168" formatCode="0.0%"/>
    <numFmt numFmtId="169" formatCode="0.0"/>
    <numFmt numFmtId="170" formatCode="_(&quot;$&quot;* #,##0_);_(&quot;$&quot;* \(#,##0\);_(&quot;$&quot;* &quot;-&quot;??_);_(@_)"/>
  </numFmts>
  <fonts count="21" x14ac:knownFonts="1"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theme="1"/>
      <name val="Arial Narrow"/>
      <family val="2"/>
    </font>
    <font>
      <b/>
      <u/>
      <sz val="12"/>
      <color theme="1"/>
      <name val="Segoe UI"/>
      <family val="2"/>
    </font>
    <font>
      <sz val="11"/>
      <color theme="1"/>
      <name val="Segoe UI"/>
      <family val="2"/>
    </font>
    <font>
      <sz val="11"/>
      <color rgb="FF0000FF"/>
      <name val="Segoe UI"/>
      <family val="2"/>
    </font>
    <font>
      <b/>
      <sz val="11"/>
      <color theme="1"/>
      <name val="Segoe UI"/>
      <family val="2"/>
    </font>
    <font>
      <sz val="12"/>
      <color rgb="FF0000FF"/>
      <name val="Segoe UI"/>
      <family val="2"/>
    </font>
    <font>
      <b/>
      <u/>
      <sz val="11"/>
      <color theme="1"/>
      <name val="Segoe UI"/>
      <family val="2"/>
    </font>
    <font>
      <i/>
      <sz val="12"/>
      <color theme="1"/>
      <name val="Segoe UI"/>
      <family val="2"/>
    </font>
    <font>
      <b/>
      <sz val="14"/>
      <color theme="1"/>
      <name val="Segoe UI"/>
      <family val="2"/>
    </font>
    <font>
      <sz val="12"/>
      <color theme="4"/>
      <name val="Segoe UI"/>
      <family val="2"/>
    </font>
    <font>
      <sz val="12"/>
      <color theme="8" tint="-0.249977111117893"/>
      <name val="Segoe UI"/>
      <family val="2"/>
    </font>
    <font>
      <i/>
      <sz val="12"/>
      <color theme="8" tint="-0.249977111117893"/>
      <name val="Segoe UI"/>
      <family val="2"/>
    </font>
    <font>
      <b/>
      <sz val="12"/>
      <color theme="0"/>
      <name val="Segoe UI"/>
      <family val="2"/>
    </font>
    <font>
      <sz val="12"/>
      <color theme="0"/>
      <name val="Segoe UI"/>
      <family val="2"/>
    </font>
    <font>
      <sz val="12"/>
      <color theme="1"/>
      <name val="Segoe UI"/>
      <family val="2"/>
    </font>
    <font>
      <b/>
      <sz val="12"/>
      <color theme="4" tint="-0.249977111117893"/>
      <name val="Segoe UI"/>
      <family val="2"/>
    </font>
    <font>
      <sz val="12"/>
      <color theme="4" tint="-0.249977111117893"/>
      <name val="Segoe UI"/>
      <family val="2"/>
    </font>
    <font>
      <b/>
      <sz val="16"/>
      <color theme="1"/>
      <name val="Segoe UI"/>
      <family val="2"/>
    </font>
    <font>
      <b/>
      <sz val="16"/>
      <color theme="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3">
    <xf numFmtId="0" fontId="0" fillId="0" borderId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90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1" fillId="0" borderId="0" xfId="0" applyFont="1"/>
    <xf numFmtId="0" fontId="3" fillId="0" borderId="0" xfId="0" applyFont="1"/>
    <xf numFmtId="0" fontId="4" fillId="0" borderId="0" xfId="0" applyFont="1"/>
    <xf numFmtId="164" fontId="5" fillId="0" borderId="0" xfId="0" applyNumberFormat="1" applyFont="1"/>
    <xf numFmtId="0" fontId="4" fillId="0" borderId="1" xfId="0" applyFont="1" applyBorder="1"/>
    <xf numFmtId="164" fontId="5" fillId="0" borderId="1" xfId="0" applyNumberFormat="1" applyFont="1" applyBorder="1"/>
    <xf numFmtId="0" fontId="6" fillId="0" borderId="0" xfId="0" applyFont="1"/>
    <xf numFmtId="164" fontId="6" fillId="0" borderId="0" xfId="0" applyNumberFormat="1" applyFont="1"/>
    <xf numFmtId="164" fontId="4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164" fontId="7" fillId="0" borderId="0" xfId="0" applyNumberFormat="1" applyFont="1"/>
    <xf numFmtId="0" fontId="0" fillId="0" borderId="1" xfId="0" applyBorder="1"/>
    <xf numFmtId="164" fontId="7" fillId="0" borderId="1" xfId="0" applyNumberFormat="1" applyFont="1" applyBorder="1"/>
    <xf numFmtId="164" fontId="1" fillId="0" borderId="0" xfId="0" applyNumberFormat="1" applyFont="1"/>
    <xf numFmtId="164" fontId="0" fillId="0" borderId="0" xfId="0" applyNumberFormat="1"/>
    <xf numFmtId="0" fontId="1" fillId="0" borderId="2" xfId="0" applyFont="1" applyBorder="1"/>
    <xf numFmtId="164" fontId="1" fillId="0" borderId="2" xfId="0" applyNumberFormat="1" applyFont="1" applyBorder="1"/>
    <xf numFmtId="165" fontId="4" fillId="0" borderId="0" xfId="0" applyNumberFormat="1" applyFont="1"/>
    <xf numFmtId="0" fontId="8" fillId="0" borderId="0" xfId="0" applyFont="1"/>
    <xf numFmtId="0" fontId="6" fillId="0" borderId="3" xfId="0" applyFont="1" applyBorder="1"/>
    <xf numFmtId="164" fontId="6" fillId="0" borderId="3" xfId="0" applyNumberFormat="1" applyFont="1" applyBorder="1"/>
    <xf numFmtId="0" fontId="4" fillId="0" borderId="0" xfId="0" applyFont="1" applyAlignment="1">
      <alignment horizontal="left" indent="1"/>
    </xf>
    <xf numFmtId="0" fontId="4" fillId="0" borderId="1" xfId="0" applyFont="1" applyBorder="1" applyAlignment="1">
      <alignment horizontal="left" indent="1"/>
    </xf>
    <xf numFmtId="0" fontId="9" fillId="0" borderId="0" xfId="0" applyFont="1"/>
    <xf numFmtId="0" fontId="10" fillId="0" borderId="0" xfId="0" applyFont="1"/>
    <xf numFmtId="166" fontId="1" fillId="4" borderId="0" xfId="0" applyNumberFormat="1" applyFont="1" applyFill="1"/>
    <xf numFmtId="167" fontId="1" fillId="3" borderId="0" xfId="0" applyNumberFormat="1" applyFont="1" applyFill="1"/>
    <xf numFmtId="168" fontId="0" fillId="0" borderId="0" xfId="0" applyNumberFormat="1"/>
    <xf numFmtId="168" fontId="11" fillId="0" borderId="0" xfId="0" applyNumberFormat="1" applyFont="1"/>
    <xf numFmtId="1" fontId="9" fillId="0" borderId="0" xfId="0" applyNumberFormat="1" applyFont="1"/>
    <xf numFmtId="1" fontId="0" fillId="0" borderId="0" xfId="0" applyNumberFormat="1"/>
    <xf numFmtId="169" fontId="0" fillId="0" borderId="0" xfId="0" applyNumberFormat="1"/>
    <xf numFmtId="164" fontId="11" fillId="0" borderId="0" xfId="0" applyNumberFormat="1" applyFont="1"/>
    <xf numFmtId="169" fontId="11" fillId="0" borderId="0" xfId="0" applyNumberFormat="1" applyFont="1"/>
    <xf numFmtId="5" fontId="0" fillId="0" borderId="0" xfId="0" applyNumberFormat="1"/>
    <xf numFmtId="5" fontId="1" fillId="0" borderId="3" xfId="0" applyNumberFormat="1" applyFont="1" applyBorder="1"/>
    <xf numFmtId="164" fontId="0" fillId="0" borderId="3" xfId="0" applyNumberFormat="1" applyBorder="1"/>
    <xf numFmtId="5" fontId="0" fillId="0" borderId="3" xfId="0" applyNumberFormat="1" applyBorder="1"/>
    <xf numFmtId="1" fontId="12" fillId="0" borderId="0" xfId="0" applyNumberFormat="1" applyFont="1"/>
    <xf numFmtId="1" fontId="11" fillId="0" borderId="0" xfId="0" applyNumberFormat="1" applyFont="1"/>
    <xf numFmtId="1" fontId="13" fillId="0" borderId="0" xfId="0" applyNumberFormat="1" applyFont="1"/>
    <xf numFmtId="1" fontId="13" fillId="0" borderId="0" xfId="0" applyNumberFormat="1" applyFont="1" applyAlignment="1">
      <alignment horizontal="right"/>
    </xf>
    <xf numFmtId="164" fontId="4" fillId="0" borderId="2" xfId="0" applyNumberFormat="1" applyFont="1" applyBorder="1"/>
    <xf numFmtId="164" fontId="4" fillId="0" borderId="3" xfId="0" applyNumberFormat="1" applyFont="1" applyBorder="1"/>
    <xf numFmtId="164" fontId="11" fillId="0" borderId="1" xfId="0" applyNumberFormat="1" applyFont="1" applyBorder="1"/>
    <xf numFmtId="5" fontId="12" fillId="0" borderId="0" xfId="0" applyNumberFormat="1" applyFont="1"/>
    <xf numFmtId="5" fontId="1" fillId="0" borderId="2" xfId="0" applyNumberFormat="1" applyFont="1" applyBorder="1"/>
    <xf numFmtId="0" fontId="14" fillId="5" borderId="0" xfId="0" applyFont="1" applyFill="1"/>
    <xf numFmtId="0" fontId="15" fillId="5" borderId="0" xfId="0" applyFont="1" applyFill="1"/>
    <xf numFmtId="5" fontId="15" fillId="5" borderId="0" xfId="0" applyNumberFormat="1" applyFont="1" applyFill="1"/>
    <xf numFmtId="0" fontId="17" fillId="0" borderId="18" xfId="0" applyFont="1" applyBorder="1"/>
    <xf numFmtId="0" fontId="17" fillId="0" borderId="19" xfId="0" applyFont="1" applyBorder="1"/>
    <xf numFmtId="0" fontId="17" fillId="0" borderId="20" xfId="0" applyFont="1" applyBorder="1"/>
    <xf numFmtId="0" fontId="18" fillId="0" borderId="4" xfId="0" applyFont="1" applyBorder="1"/>
    <xf numFmtId="170" fontId="0" fillId="0" borderId="0" xfId="1" applyNumberFormat="1" applyFont="1" applyBorder="1"/>
    <xf numFmtId="170" fontId="0" fillId="0" borderId="5" xfId="1" applyNumberFormat="1" applyFont="1" applyBorder="1"/>
    <xf numFmtId="0" fontId="0" fillId="0" borderId="4" xfId="0" applyBorder="1" applyAlignment="1">
      <alignment horizontal="left" indent="2"/>
    </xf>
    <xf numFmtId="0" fontId="18" fillId="0" borderId="4" xfId="0" applyFont="1" applyBorder="1" applyAlignment="1">
      <alignment wrapText="1"/>
    </xf>
    <xf numFmtId="168" fontId="0" fillId="0" borderId="0" xfId="2" applyNumberFormat="1" applyFont="1" applyBorder="1"/>
    <xf numFmtId="168" fontId="0" fillId="0" borderId="5" xfId="2" applyNumberFormat="1" applyFont="1" applyBorder="1"/>
    <xf numFmtId="0" fontId="18" fillId="0" borderId="6" xfId="0" applyFont="1" applyBorder="1"/>
    <xf numFmtId="168" fontId="0" fillId="0" borderId="7" xfId="2" applyNumberFormat="1" applyFont="1" applyBorder="1"/>
    <xf numFmtId="168" fontId="0" fillId="0" borderId="8" xfId="2" applyNumberFormat="1" applyFont="1" applyBorder="1"/>
    <xf numFmtId="170" fontId="15" fillId="0" borderId="0" xfId="1" applyNumberFormat="1" applyFont="1" applyBorder="1"/>
    <xf numFmtId="170" fontId="15" fillId="0" borderId="5" xfId="1" applyNumberFormat="1" applyFont="1" applyBorder="1"/>
    <xf numFmtId="170" fontId="19" fillId="6" borderId="9" xfId="0" applyNumberFormat="1" applyFont="1" applyFill="1" applyBorder="1"/>
    <xf numFmtId="170" fontId="19" fillId="6" borderId="15" xfId="0" applyNumberFormat="1" applyFont="1" applyFill="1" applyBorder="1"/>
    <xf numFmtId="0" fontId="11" fillId="6" borderId="13" xfId="0" applyFont="1" applyFill="1" applyBorder="1"/>
    <xf numFmtId="0" fontId="11" fillId="6" borderId="17" xfId="0" applyFont="1" applyFill="1" applyBorder="1"/>
    <xf numFmtId="170" fontId="19" fillId="6" borderId="16" xfId="0" applyNumberFormat="1" applyFont="1" applyFill="1" applyBorder="1"/>
    <xf numFmtId="0" fontId="0" fillId="6" borderId="13" xfId="0" applyFill="1" applyBorder="1"/>
    <xf numFmtId="0" fontId="11" fillId="6" borderId="14" xfId="0" applyFont="1" applyFill="1" applyBorder="1"/>
    <xf numFmtId="0" fontId="0" fillId="7" borderId="0" xfId="0" applyFill="1"/>
    <xf numFmtId="9" fontId="20" fillId="7" borderId="0" xfId="2" applyFont="1" applyFill="1" applyBorder="1" applyAlignment="1">
      <alignment vertical="center"/>
    </xf>
    <xf numFmtId="0" fontId="15" fillId="7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9" fontId="19" fillId="6" borderId="11" xfId="2" applyFont="1" applyFill="1" applyBorder="1" applyAlignment="1">
      <alignment horizontal="center" vertical="center"/>
    </xf>
    <xf numFmtId="9" fontId="19" fillId="6" borderId="12" xfId="2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170" fontId="19" fillId="6" borderId="11" xfId="0" applyNumberFormat="1" applyFont="1" applyFill="1" applyBorder="1" applyAlignment="1">
      <alignment horizontal="center"/>
    </xf>
    <xf numFmtId="170" fontId="19" fillId="6" borderId="12" xfId="0" applyNumberFormat="1" applyFont="1" applyFill="1" applyBorder="1" applyAlignment="1">
      <alignment horizontal="center"/>
    </xf>
    <xf numFmtId="0" fontId="14" fillId="5" borderId="3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1">
                    <a:lumMod val="50000"/>
                  </a:schemeClr>
                </a:solidFill>
              </a:rPr>
              <a:t>Revenue</a:t>
            </a:r>
            <a:r>
              <a:rPr lang="en-US" sz="1200" b="1" baseline="0">
                <a:solidFill>
                  <a:schemeClr val="accent1">
                    <a:lumMod val="50000"/>
                  </a:schemeClr>
                </a:solidFill>
              </a:rPr>
              <a:t> (Actual vs Forecast)</a:t>
            </a:r>
            <a:endParaRPr lang="en-US" sz="1200" b="1">
              <a:solidFill>
                <a:schemeClr val="accent1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22513203471755766"/>
          <c:y val="3.27318589230879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spPr>
            <a:ln w="381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Dashboard!$C$19:$O$19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Dashboard!$C$21:$O$21</c:f>
              <c:numCache>
                <c:formatCode>_("$"* #,##0_);_("$"* \(#,##0\);_("$"* "-"??_);_(@_)</c:formatCode>
                <c:ptCount val="13"/>
                <c:pt idx="0">
                  <c:v>102007</c:v>
                </c:pt>
                <c:pt idx="1">
                  <c:v>118086</c:v>
                </c:pt>
                <c:pt idx="2">
                  <c:v>131345</c:v>
                </c:pt>
                <c:pt idx="3">
                  <c:v>142341</c:v>
                </c:pt>
                <c:pt idx="4">
                  <c:v>150772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94-4897-BFE6-060868B72B25}"/>
            </c:ext>
          </c:extLst>
        </c:ser>
        <c:ser>
          <c:idx val="3"/>
          <c:order val="3"/>
          <c:spPr>
            <a:ln w="25400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Dashboard!$C$19:$O$19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Dashboard!$C$22:$O$22</c:f>
              <c:numCache>
                <c:formatCode>_("$"* #,##0_);_("$"* \(#,##0\);_("$"* "-"??_);_(@_)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165849.20000000001</c:v>
                </c:pt>
                <c:pt idx="6">
                  <c:v>182434.12000000002</c:v>
                </c:pt>
                <c:pt idx="7">
                  <c:v>200677.53200000004</c:v>
                </c:pt>
                <c:pt idx="8">
                  <c:v>220745.28520000007</c:v>
                </c:pt>
                <c:pt idx="9">
                  <c:v>242819.81372000009</c:v>
                </c:pt>
                <c:pt idx="10">
                  <c:v>267101.7950920001</c:v>
                </c:pt>
                <c:pt idx="11">
                  <c:v>293811.97460120014</c:v>
                </c:pt>
                <c:pt idx="12">
                  <c:v>323193.17206132016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94-4897-BFE6-060868B72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0343760"/>
        <c:axId val="21103687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Dashboard!$C$19:$O$19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  <c:pt idx="7">
                        <c:v>2025</c:v>
                      </c:pt>
                      <c:pt idx="8">
                        <c:v>2026</c:v>
                      </c:pt>
                      <c:pt idx="9">
                        <c:v>2027</c:v>
                      </c:pt>
                      <c:pt idx="10">
                        <c:v>2028</c:v>
                      </c:pt>
                      <c:pt idx="11">
                        <c:v>2029</c:v>
                      </c:pt>
                      <c:pt idx="12">
                        <c:v>2030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Dashboard!$C$19:$O$19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  <c:pt idx="7">
                        <c:v>2025</c:v>
                      </c:pt>
                      <c:pt idx="8">
                        <c:v>2026</c:v>
                      </c:pt>
                      <c:pt idx="9">
                        <c:v>2027</c:v>
                      </c:pt>
                      <c:pt idx="10">
                        <c:v>2028</c:v>
                      </c:pt>
                      <c:pt idx="11">
                        <c:v>2029</c:v>
                      </c:pt>
                      <c:pt idx="12">
                        <c:v>2030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794-4897-BFE6-060868B72B25}"/>
                  </c:ext>
                </c:extLst>
              </c15:ser>
            </c15:filteredLineSeries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Dashboard!$C$19:$O$19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  <c:pt idx="7">
                        <c:v>2025</c:v>
                      </c:pt>
                      <c:pt idx="8">
                        <c:v>2026</c:v>
                      </c:pt>
                      <c:pt idx="9">
                        <c:v>2027</c:v>
                      </c:pt>
                      <c:pt idx="10">
                        <c:v>2028</c:v>
                      </c:pt>
                      <c:pt idx="11">
                        <c:v>2029</c:v>
                      </c:pt>
                      <c:pt idx="12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Dashboard!$C$20:$O$20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13"/>
                      <c:pt idx="0">
                        <c:v>102007</c:v>
                      </c:pt>
                      <c:pt idx="1">
                        <c:v>118086</c:v>
                      </c:pt>
                      <c:pt idx="2">
                        <c:v>131345</c:v>
                      </c:pt>
                      <c:pt idx="3">
                        <c:v>142341</c:v>
                      </c:pt>
                      <c:pt idx="4">
                        <c:v>150772</c:v>
                      </c:pt>
                      <c:pt idx="5">
                        <c:v>165849.20000000001</c:v>
                      </c:pt>
                      <c:pt idx="6">
                        <c:v>182434.12000000002</c:v>
                      </c:pt>
                      <c:pt idx="7">
                        <c:v>200677.53200000004</c:v>
                      </c:pt>
                      <c:pt idx="8">
                        <c:v>220745.28520000007</c:v>
                      </c:pt>
                      <c:pt idx="9">
                        <c:v>242819.81372000009</c:v>
                      </c:pt>
                      <c:pt idx="10">
                        <c:v>267101.7950920001</c:v>
                      </c:pt>
                      <c:pt idx="11">
                        <c:v>293811.97460120014</c:v>
                      </c:pt>
                      <c:pt idx="12">
                        <c:v>323193.17206132016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794-4897-BFE6-060868B72B25}"/>
                  </c:ext>
                </c:extLst>
              </c15:ser>
            </c15:filteredLineSeries>
          </c:ext>
        </c:extLst>
      </c:lineChart>
      <c:catAx>
        <c:axId val="211034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368720"/>
        <c:crosses val="autoZero"/>
        <c:auto val="1"/>
        <c:lblAlgn val="ctr"/>
        <c:lblOffset val="100"/>
        <c:noMultiLvlLbl val="0"/>
      </c:catAx>
      <c:valAx>
        <c:axId val="2110368720"/>
        <c:scaling>
          <c:orientation val="minMax"/>
          <c:max val="350000"/>
          <c:min val="30000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34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2">
          <a:alpha val="99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baseline="0">
                <a:solidFill>
                  <a:schemeClr val="accent1">
                    <a:lumMod val="50000"/>
                  </a:schemeClr>
                </a:solidFill>
              </a:rPr>
              <a:t>Free Cashflow (FCF) (Actual vs Forecast)</a:t>
            </a:r>
            <a:endParaRPr lang="en-US" sz="1200" b="1">
              <a:solidFill>
                <a:schemeClr val="accent1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15131287784360775"/>
          <c:y val="3.21167687827067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46835843512634"/>
          <c:y val="0.16005310617190766"/>
          <c:w val="0.84234265141420872"/>
          <c:h val="0.75178575355643218"/>
        </c:manualLayout>
      </c:layou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cat>
            <c:numRef>
              <c:f>Dashboard!$C$19:$O$19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Dashboard!$C$30:$O$30</c:f>
              <c:numCache>
                <c:formatCode>_("$"* #,##0_);_("$"* \(#,##0\);_("$"* "-"??_);_(@_)</c:formatCode>
                <c:ptCount val="13"/>
                <c:pt idx="0">
                  <c:v>-2028.8207999999995</c:v>
                </c:pt>
                <c:pt idx="1">
                  <c:v>13238.733497877973</c:v>
                </c:pt>
                <c:pt idx="2">
                  <c:v>22505.343885131319</c:v>
                </c:pt>
                <c:pt idx="3">
                  <c:v>27354.079023595295</c:v>
                </c:pt>
                <c:pt idx="4">
                  <c:v>28480.184758580297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97-4C83-B40B-B426B28A169C}"/>
            </c:ext>
          </c:extLst>
        </c:ser>
        <c:ser>
          <c:idx val="3"/>
          <c:order val="3"/>
          <c:spPr>
            <a:ln w="25400" cap="rnd">
              <a:solidFill>
                <a:schemeClr val="accent1">
                  <a:lumMod val="75000"/>
                  <a:alpha val="98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Dashboard!$C$19:$O$19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Dashboard!$C$31:$O$31</c:f>
              <c:numCache>
                <c:formatCode>_("$"* #,##0_);_("$"* \(#,##0\);_("$"* "-"??_);_(@_)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31393.769002739748</c:v>
                </c:pt>
                <c:pt idx="6">
                  <c:v>34649.532700273972</c:v>
                </c:pt>
                <c:pt idx="7">
                  <c:v>38177.485970301379</c:v>
                </c:pt>
                <c:pt idx="8">
                  <c:v>42058.234567331507</c:v>
                </c:pt>
                <c:pt idx="9">
                  <c:v>46327.058024064674</c:v>
                </c:pt>
                <c:pt idx="10">
                  <c:v>51022.763826471157</c:v>
                </c:pt>
                <c:pt idx="11">
                  <c:v>56188.040209118233</c:v>
                </c:pt>
                <c:pt idx="12">
                  <c:v>61869.844230030081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97-4C83-B40B-B426B28A1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0343760"/>
        <c:axId val="21103687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Dashboard!$C$19:$O$19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  <c:pt idx="7">
                        <c:v>2025</c:v>
                      </c:pt>
                      <c:pt idx="8">
                        <c:v>2026</c:v>
                      </c:pt>
                      <c:pt idx="9">
                        <c:v>2027</c:v>
                      </c:pt>
                      <c:pt idx="10">
                        <c:v>2028</c:v>
                      </c:pt>
                      <c:pt idx="11">
                        <c:v>2029</c:v>
                      </c:pt>
                      <c:pt idx="12">
                        <c:v>2030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Dashboard!$C$19:$O$19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  <c:pt idx="7">
                        <c:v>2025</c:v>
                      </c:pt>
                      <c:pt idx="8">
                        <c:v>2026</c:v>
                      </c:pt>
                      <c:pt idx="9">
                        <c:v>2027</c:v>
                      </c:pt>
                      <c:pt idx="10">
                        <c:v>2028</c:v>
                      </c:pt>
                      <c:pt idx="11">
                        <c:v>2029</c:v>
                      </c:pt>
                      <c:pt idx="12">
                        <c:v>2030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C97-4C83-B40B-B426B28A169C}"/>
                  </c:ext>
                </c:extLst>
              </c15:ser>
            </c15:filteredLineSeries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Dashboard!$C$19:$O$19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  <c:pt idx="7">
                        <c:v>2025</c:v>
                      </c:pt>
                      <c:pt idx="8">
                        <c:v>2026</c:v>
                      </c:pt>
                      <c:pt idx="9">
                        <c:v>2027</c:v>
                      </c:pt>
                      <c:pt idx="10">
                        <c:v>2028</c:v>
                      </c:pt>
                      <c:pt idx="11">
                        <c:v>2029</c:v>
                      </c:pt>
                      <c:pt idx="12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Dashboard!$C$20:$O$20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13"/>
                      <c:pt idx="0">
                        <c:v>102007</c:v>
                      </c:pt>
                      <c:pt idx="1">
                        <c:v>118086</c:v>
                      </c:pt>
                      <c:pt idx="2">
                        <c:v>131345</c:v>
                      </c:pt>
                      <c:pt idx="3">
                        <c:v>142341</c:v>
                      </c:pt>
                      <c:pt idx="4">
                        <c:v>150772</c:v>
                      </c:pt>
                      <c:pt idx="5">
                        <c:v>165849.20000000001</c:v>
                      </c:pt>
                      <c:pt idx="6">
                        <c:v>182434.12000000002</c:v>
                      </c:pt>
                      <c:pt idx="7">
                        <c:v>200677.53200000004</c:v>
                      </c:pt>
                      <c:pt idx="8">
                        <c:v>220745.28520000007</c:v>
                      </c:pt>
                      <c:pt idx="9">
                        <c:v>242819.81372000009</c:v>
                      </c:pt>
                      <c:pt idx="10">
                        <c:v>267101.7950920001</c:v>
                      </c:pt>
                      <c:pt idx="11">
                        <c:v>293811.97460120014</c:v>
                      </c:pt>
                      <c:pt idx="12">
                        <c:v>323193.17206132016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C97-4C83-B40B-B426B28A169C}"/>
                  </c:ext>
                </c:extLst>
              </c15:ser>
            </c15:filteredLineSeries>
          </c:ext>
        </c:extLst>
      </c:lineChart>
      <c:dateAx>
        <c:axId val="211034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368720"/>
        <c:crosses val="autoZero"/>
        <c:auto val="0"/>
        <c:lblOffset val="100"/>
        <c:baseTimeUnit val="days"/>
      </c:dateAx>
      <c:valAx>
        <c:axId val="2110368720"/>
        <c:scaling>
          <c:orientation val="minMax"/>
          <c:max val="67000"/>
          <c:min val="-3000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34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2">
          <a:alpha val="99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baseline="0">
                <a:solidFill>
                  <a:schemeClr val="accent1">
                    <a:lumMod val="50000"/>
                  </a:schemeClr>
                </a:solidFill>
              </a:rPr>
              <a:t>Margin Trend (%)</a:t>
            </a:r>
            <a:endParaRPr lang="en-US" sz="1200" b="1">
              <a:solidFill>
                <a:schemeClr val="accent1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35874963075734506"/>
          <c:y val="2.12175676895288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46835843512634"/>
          <c:y val="0.16005310617190766"/>
          <c:w val="0.84234265141420872"/>
          <c:h val="0.75178575355643218"/>
        </c:manualLayout>
      </c:layou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Dashboard!$C$19:$O$19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Dashboard!$C$32:$O$32</c:f>
              <c:numCache>
                <c:formatCode>0.0%</c:formatCode>
                <c:ptCount val="13"/>
                <c:pt idx="0">
                  <c:v>0.25090434970149106</c:v>
                </c:pt>
                <c:pt idx="1">
                  <c:v>0.31586301509069659</c:v>
                </c:pt>
                <c:pt idx="2">
                  <c:v>0.36745212988693898</c:v>
                </c:pt>
                <c:pt idx="3">
                  <c:v>0.38685269880076717</c:v>
                </c:pt>
                <c:pt idx="4">
                  <c:v>0.37676093704401348</c:v>
                </c:pt>
                <c:pt idx="5">
                  <c:v>0.4200000000000001</c:v>
                </c:pt>
                <c:pt idx="6">
                  <c:v>0.42</c:v>
                </c:pt>
                <c:pt idx="7">
                  <c:v>0.42</c:v>
                </c:pt>
                <c:pt idx="8">
                  <c:v>0.42000000000000004</c:v>
                </c:pt>
                <c:pt idx="9">
                  <c:v>0.42</c:v>
                </c:pt>
                <c:pt idx="10">
                  <c:v>0.42000000000000004</c:v>
                </c:pt>
                <c:pt idx="11">
                  <c:v>0.41999999999999987</c:v>
                </c:pt>
                <c:pt idx="12">
                  <c:v>0.41999999999999993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D8-4A8B-8179-874350308297}"/>
            </c:ext>
          </c:extLst>
        </c:ser>
        <c:ser>
          <c:idx val="3"/>
          <c:order val="3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Dashboard!$C$19:$O$19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Dashboard!$C$33:$O$33</c:f>
              <c:numCache>
                <c:formatCode>0.0%</c:formatCode>
                <c:ptCount val="13"/>
                <c:pt idx="0">
                  <c:v>-1.9889035066220941E-2</c:v>
                </c:pt>
                <c:pt idx="1">
                  <c:v>0.11211094878205691</c:v>
                </c:pt>
                <c:pt idx="2">
                  <c:v>0.17134526540889503</c:v>
                </c:pt>
                <c:pt idx="3">
                  <c:v>0.19217287375805492</c:v>
                </c:pt>
                <c:pt idx="4">
                  <c:v>0.188895715110102</c:v>
                </c:pt>
                <c:pt idx="5">
                  <c:v>0.18929104875235905</c:v>
                </c:pt>
                <c:pt idx="6">
                  <c:v>0.18992901492480666</c:v>
                </c:pt>
                <c:pt idx="7">
                  <c:v>0.19024295141471728</c:v>
                </c:pt>
                <c:pt idx="8">
                  <c:v>0.19052834822372683</c:v>
                </c:pt>
                <c:pt idx="9">
                  <c:v>0.19078779986828109</c:v>
                </c:pt>
                <c:pt idx="10">
                  <c:v>0.19102366499969406</c:v>
                </c:pt>
                <c:pt idx="11">
                  <c:v>0.19123808784643292</c:v>
                </c:pt>
                <c:pt idx="12">
                  <c:v>0.19143301770710483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D8-4A8B-8179-874350308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0343760"/>
        <c:axId val="21103687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Dashboard!$C$19:$O$19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  <c:pt idx="7">
                        <c:v>2025</c:v>
                      </c:pt>
                      <c:pt idx="8">
                        <c:v>2026</c:v>
                      </c:pt>
                      <c:pt idx="9">
                        <c:v>2027</c:v>
                      </c:pt>
                      <c:pt idx="10">
                        <c:v>2028</c:v>
                      </c:pt>
                      <c:pt idx="11">
                        <c:v>2029</c:v>
                      </c:pt>
                      <c:pt idx="12">
                        <c:v>2030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Dashboard!$C$19:$O$19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  <c:pt idx="7">
                        <c:v>2025</c:v>
                      </c:pt>
                      <c:pt idx="8">
                        <c:v>2026</c:v>
                      </c:pt>
                      <c:pt idx="9">
                        <c:v>2027</c:v>
                      </c:pt>
                      <c:pt idx="10">
                        <c:v>2028</c:v>
                      </c:pt>
                      <c:pt idx="11">
                        <c:v>2029</c:v>
                      </c:pt>
                      <c:pt idx="12">
                        <c:v>2030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4D8-4A8B-8179-874350308297}"/>
                  </c:ext>
                </c:extLst>
              </c15:ser>
            </c15:filteredLineSeries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Dashboard!$C$19:$O$19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  <c:pt idx="7">
                        <c:v>2025</c:v>
                      </c:pt>
                      <c:pt idx="8">
                        <c:v>2026</c:v>
                      </c:pt>
                      <c:pt idx="9">
                        <c:v>2027</c:v>
                      </c:pt>
                      <c:pt idx="10">
                        <c:v>2028</c:v>
                      </c:pt>
                      <c:pt idx="11">
                        <c:v>2029</c:v>
                      </c:pt>
                      <c:pt idx="12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Dashboard!$C$20:$O$20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13"/>
                      <c:pt idx="0">
                        <c:v>102007</c:v>
                      </c:pt>
                      <c:pt idx="1">
                        <c:v>118086</c:v>
                      </c:pt>
                      <c:pt idx="2">
                        <c:v>131345</c:v>
                      </c:pt>
                      <c:pt idx="3">
                        <c:v>142341</c:v>
                      </c:pt>
                      <c:pt idx="4">
                        <c:v>150772</c:v>
                      </c:pt>
                      <c:pt idx="5">
                        <c:v>165849.20000000001</c:v>
                      </c:pt>
                      <c:pt idx="6">
                        <c:v>182434.12000000002</c:v>
                      </c:pt>
                      <c:pt idx="7">
                        <c:v>200677.53200000004</c:v>
                      </c:pt>
                      <c:pt idx="8">
                        <c:v>220745.28520000007</c:v>
                      </c:pt>
                      <c:pt idx="9">
                        <c:v>242819.81372000009</c:v>
                      </c:pt>
                      <c:pt idx="10">
                        <c:v>267101.7950920001</c:v>
                      </c:pt>
                      <c:pt idx="11">
                        <c:v>293811.97460120014</c:v>
                      </c:pt>
                      <c:pt idx="12">
                        <c:v>323193.17206132016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4D8-4A8B-8179-874350308297}"/>
                  </c:ext>
                </c:extLst>
              </c15:ser>
            </c15:filteredLineSeries>
          </c:ext>
        </c:extLst>
      </c:lineChart>
      <c:dateAx>
        <c:axId val="211034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368720"/>
        <c:crosses val="autoZero"/>
        <c:auto val="0"/>
        <c:lblOffset val="100"/>
        <c:baseTimeUnit val="days"/>
      </c:dateAx>
      <c:valAx>
        <c:axId val="2110368720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34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2">
          <a:alpha val="99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baseline="0">
                <a:solidFill>
                  <a:schemeClr val="accent1">
                    <a:lumMod val="50000"/>
                  </a:schemeClr>
                </a:solidFill>
              </a:rPr>
              <a:t>Profit After Tax (Actual vs Forecast)</a:t>
            </a:r>
            <a:endParaRPr lang="en-US" sz="1200" b="1">
              <a:solidFill>
                <a:schemeClr val="accent1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19654006716617872"/>
          <c:y val="3.1532301654565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46835843512634"/>
          <c:y val="0.16005310617190766"/>
          <c:w val="0.84234265141420872"/>
          <c:h val="0.75178575355643218"/>
        </c:manualLayout>
      </c:layou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Dashboard!$C$19:$O$19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Dashboard!$C$25:$O$25</c:f>
              <c:numCache>
                <c:formatCode>_("$"* #,##0_);_("$"* \(#,##0\);_("$"* "-"??_);_(@_)</c:formatCode>
                <c:ptCount val="13"/>
                <c:pt idx="0">
                  <c:v>2473.8292000000001</c:v>
                </c:pt>
                <c:pt idx="1">
                  <c:v>11790.78349787797</c:v>
                </c:pt>
                <c:pt idx="2">
                  <c:v>21075.193885131321</c:v>
                </c:pt>
                <c:pt idx="3">
                  <c:v>26713.479023595301</c:v>
                </c:pt>
                <c:pt idx="4">
                  <c:v>28226.884758580301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55-45A5-A859-5219864C2A2D}"/>
            </c:ext>
          </c:extLst>
        </c:ser>
        <c:ser>
          <c:idx val="3"/>
          <c:order val="3"/>
          <c:spPr>
            <a:ln w="25400" cap="rnd">
              <a:solidFill>
                <a:schemeClr val="accent1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Dashboard!$C$19:$O$19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Dashboard!$C$26:$O$26</c:f>
              <c:numCache>
                <c:formatCode>_("$"* #,##0_);_("$"* \(#,##0\);_("$"* "-"??_);_(@_)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36520.220800000017</c:v>
                </c:pt>
                <c:pt idx="6">
                  <c:v>40235.242880000005</c:v>
                </c:pt>
                <c:pt idx="7">
                  <c:v>44321.767168000006</c:v>
                </c:pt>
                <c:pt idx="8">
                  <c:v>48816.943884800014</c:v>
                </c:pt>
                <c:pt idx="9">
                  <c:v>53761.638273280027</c:v>
                </c:pt>
                <c:pt idx="10">
                  <c:v>59200.802100608038</c:v>
                </c:pt>
                <c:pt idx="11">
                  <c:v>65183.882310668807</c:v>
                </c:pt>
                <c:pt idx="12">
                  <c:v>71765.270541735707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55-45A5-A859-5219864C2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0343760"/>
        <c:axId val="21103687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Dashboard!$C$19:$O$19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  <c:pt idx="7">
                        <c:v>2025</c:v>
                      </c:pt>
                      <c:pt idx="8">
                        <c:v>2026</c:v>
                      </c:pt>
                      <c:pt idx="9">
                        <c:v>2027</c:v>
                      </c:pt>
                      <c:pt idx="10">
                        <c:v>2028</c:v>
                      </c:pt>
                      <c:pt idx="11">
                        <c:v>2029</c:v>
                      </c:pt>
                      <c:pt idx="12">
                        <c:v>2030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Dashboard!$C$19:$O$19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  <c:pt idx="7">
                        <c:v>2025</c:v>
                      </c:pt>
                      <c:pt idx="8">
                        <c:v>2026</c:v>
                      </c:pt>
                      <c:pt idx="9">
                        <c:v>2027</c:v>
                      </c:pt>
                      <c:pt idx="10">
                        <c:v>2028</c:v>
                      </c:pt>
                      <c:pt idx="11">
                        <c:v>2029</c:v>
                      </c:pt>
                      <c:pt idx="12">
                        <c:v>2030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E755-45A5-A859-5219864C2A2D}"/>
                  </c:ext>
                </c:extLst>
              </c15:ser>
            </c15:filteredLineSeries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Dashboard!$C$19:$O$19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  <c:pt idx="7">
                        <c:v>2025</c:v>
                      </c:pt>
                      <c:pt idx="8">
                        <c:v>2026</c:v>
                      </c:pt>
                      <c:pt idx="9">
                        <c:v>2027</c:v>
                      </c:pt>
                      <c:pt idx="10">
                        <c:v>2028</c:v>
                      </c:pt>
                      <c:pt idx="11">
                        <c:v>2029</c:v>
                      </c:pt>
                      <c:pt idx="12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Dashboard!$C$20:$O$20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13"/>
                      <c:pt idx="0">
                        <c:v>102007</c:v>
                      </c:pt>
                      <c:pt idx="1">
                        <c:v>118086</c:v>
                      </c:pt>
                      <c:pt idx="2">
                        <c:v>131345</c:v>
                      </c:pt>
                      <c:pt idx="3">
                        <c:v>142341</c:v>
                      </c:pt>
                      <c:pt idx="4">
                        <c:v>150772</c:v>
                      </c:pt>
                      <c:pt idx="5">
                        <c:v>165849.20000000001</c:v>
                      </c:pt>
                      <c:pt idx="6">
                        <c:v>182434.12000000002</c:v>
                      </c:pt>
                      <c:pt idx="7">
                        <c:v>200677.53200000004</c:v>
                      </c:pt>
                      <c:pt idx="8">
                        <c:v>220745.28520000007</c:v>
                      </c:pt>
                      <c:pt idx="9">
                        <c:v>242819.81372000009</c:v>
                      </c:pt>
                      <c:pt idx="10">
                        <c:v>267101.7950920001</c:v>
                      </c:pt>
                      <c:pt idx="11">
                        <c:v>293811.97460120014</c:v>
                      </c:pt>
                      <c:pt idx="12">
                        <c:v>323193.17206132016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755-45A5-A859-5219864C2A2D}"/>
                  </c:ext>
                </c:extLst>
              </c15:ser>
            </c15:filteredLineSeries>
          </c:ext>
        </c:extLst>
      </c:lineChart>
      <c:dateAx>
        <c:axId val="211034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368720"/>
        <c:crosses val="autoZero"/>
        <c:auto val="0"/>
        <c:lblOffset val="100"/>
        <c:baseTimeUnit val="days"/>
      </c:dateAx>
      <c:valAx>
        <c:axId val="2110368720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34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2">
          <a:alpha val="99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19243</xdr:colOff>
      <xdr:row>4</xdr:row>
      <xdr:rowOff>119159</xdr:rowOff>
    </xdr:from>
    <xdr:to>
      <xdr:col>3</xdr:col>
      <xdr:colOff>739384</xdr:colOff>
      <xdr:row>15</xdr:row>
      <xdr:rowOff>200069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75C0C7-B00A-995D-CE51-5A1BB6A18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153944</xdr:colOff>
      <xdr:row>8</xdr:row>
      <xdr:rowOff>225961</xdr:rowOff>
    </xdr:from>
    <xdr:to>
      <xdr:col>2</xdr:col>
      <xdr:colOff>1308130</xdr:colOff>
      <xdr:row>10</xdr:row>
      <xdr:rowOff>137356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62466A7-DD98-19E3-65DB-BAC63E872BFF}"/>
            </a:ext>
          </a:extLst>
        </xdr:cNvPr>
        <xdr:cNvSpPr txBox="1"/>
      </xdr:nvSpPr>
      <xdr:spPr>
        <a:xfrm rot="20032409">
          <a:off x="1797985" y="2035276"/>
          <a:ext cx="1154186" cy="3637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Forecast begins</a:t>
          </a:r>
        </a:p>
      </xdr:txBody>
    </xdr:sp>
    <xdr:clientData/>
  </xdr:twoCellAnchor>
  <xdr:twoCellAnchor>
    <xdr:from>
      <xdr:col>3</xdr:col>
      <xdr:colOff>802621</xdr:colOff>
      <xdr:row>4</xdr:row>
      <xdr:rowOff>126534</xdr:rowOff>
    </xdr:from>
    <xdr:to>
      <xdr:col>7</xdr:col>
      <xdr:colOff>287055</xdr:colOff>
      <xdr:row>15</xdr:row>
      <xdr:rowOff>200069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44CA67-6A15-4218-815E-42A9C2850A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347946</xdr:colOff>
      <xdr:row>4</xdr:row>
      <xdr:rowOff>130016</xdr:rowOff>
    </xdr:from>
    <xdr:to>
      <xdr:col>11</xdr:col>
      <xdr:colOff>156575</xdr:colOff>
      <xdr:row>15</xdr:row>
      <xdr:rowOff>208769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9ECD3E-81D5-42F6-B090-013109EA15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226162</xdr:colOff>
      <xdr:row>5</xdr:row>
      <xdr:rowOff>0</xdr:rowOff>
    </xdr:from>
    <xdr:to>
      <xdr:col>14</xdr:col>
      <xdr:colOff>939451</xdr:colOff>
      <xdr:row>15</xdr:row>
      <xdr:rowOff>209233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770F01-72EA-444D-96CD-3813CE98B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696452</xdr:colOff>
      <xdr:row>11</xdr:row>
      <xdr:rowOff>194597</xdr:rowOff>
    </xdr:from>
    <xdr:to>
      <xdr:col>12</xdr:col>
      <xdr:colOff>558410</xdr:colOff>
      <xdr:row>13</xdr:row>
      <xdr:rowOff>151267</xdr:rowOff>
    </xdr:to>
    <xdr:sp macro="" textlink="">
      <xdr:nvSpPr>
        <xdr:cNvPr id="7" name="TextBox 3">
          <a:extLst>
            <a:ext uri="{FF2B5EF4-FFF2-40B4-BE49-F238E27FC236}">
              <a16:creationId xmlns:a16="http://schemas.microsoft.com/office/drawing/2014/main" id="{1E5C6C9D-801E-CFE5-25E1-8768B11BCAA6}"/>
            </a:ext>
          </a:extLst>
        </xdr:cNvPr>
        <xdr:cNvSpPr txBox="1"/>
      </xdr:nvSpPr>
      <xdr:spPr>
        <a:xfrm rot="19283152">
          <a:off x="12013791" y="2673145"/>
          <a:ext cx="824700" cy="4073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Actuals</a:t>
          </a:r>
        </a:p>
      </xdr:txBody>
    </xdr:sp>
    <xdr:clientData/>
  </xdr:twoCellAnchor>
  <xdr:twoCellAnchor>
    <xdr:from>
      <xdr:col>12</xdr:col>
      <xdr:colOff>860322</xdr:colOff>
      <xdr:row>8</xdr:row>
      <xdr:rowOff>215080</xdr:rowOff>
    </xdr:from>
    <xdr:to>
      <xdr:col>14</xdr:col>
      <xdr:colOff>89024</xdr:colOff>
      <xdr:row>10</xdr:row>
      <xdr:rowOff>132825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3F5CC19-FDA4-4C81-B396-C1AC164E9CA4}"/>
            </a:ext>
          </a:extLst>
        </xdr:cNvPr>
        <xdr:cNvSpPr txBox="1"/>
      </xdr:nvSpPr>
      <xdr:spPr>
        <a:xfrm rot="20032409">
          <a:off x="13140403" y="2017661"/>
          <a:ext cx="1154186" cy="3683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Forecast begins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0.18845</cdr:x>
      <cdr:y>0.5334</cdr:y>
    </cdr:from>
    <cdr:to>
      <cdr:x>0.41507</cdr:x>
      <cdr:y>0.69848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A62466A7-DD98-19E3-65DB-BAC63E872BFF}"/>
            </a:ext>
          </a:extLst>
        </cdr:cNvPr>
        <cdr:cNvSpPr txBox="1"/>
      </cdr:nvSpPr>
      <cdr:spPr>
        <a:xfrm xmlns:a="http://schemas.openxmlformats.org/drawingml/2006/main" rot="20734853">
          <a:off x="643863" y="1319105"/>
          <a:ext cx="774304" cy="4082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Actuals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0.17513</cdr:x>
      <cdr:y>0.53951</cdr:y>
    </cdr:from>
    <cdr:to>
      <cdr:x>0.38524</cdr:x>
      <cdr:y>0.63012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A62466A7-DD98-19E3-65DB-BAC63E872BFF}"/>
            </a:ext>
          </a:extLst>
        </cdr:cNvPr>
        <cdr:cNvSpPr txBox="1"/>
      </cdr:nvSpPr>
      <cdr:spPr>
        <a:xfrm xmlns:a="http://schemas.openxmlformats.org/drawingml/2006/main" rot="19084232">
          <a:off x="583034" y="1330244"/>
          <a:ext cx="699523" cy="22341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Actuals</a:t>
          </a:r>
        </a:p>
      </cdr:txBody>
    </cdr:sp>
  </cdr:relSizeAnchor>
  <cdr:relSizeAnchor xmlns:cdr="http://schemas.openxmlformats.org/drawingml/2006/chartDrawing">
    <cdr:from>
      <cdr:x>0.45342</cdr:x>
      <cdr:y>0.33645</cdr:y>
    </cdr:from>
    <cdr:to>
      <cdr:x>0.79701</cdr:x>
      <cdr:y>0.46215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A62466A7-DD98-19E3-65DB-BAC63E872BFF}"/>
            </a:ext>
          </a:extLst>
        </cdr:cNvPr>
        <cdr:cNvSpPr txBox="1"/>
      </cdr:nvSpPr>
      <cdr:spPr>
        <a:xfrm xmlns:a="http://schemas.openxmlformats.org/drawingml/2006/main" rot="20128782">
          <a:off x="1509543" y="829559"/>
          <a:ext cx="1143878" cy="3099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Forecast begins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0.46187</cdr:x>
      <cdr:y>0.25563</cdr:y>
    </cdr:from>
    <cdr:to>
      <cdr:x>0.69571</cdr:x>
      <cdr:y>0.34644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A62466A7-DD98-19E3-65DB-BAC63E872BFF}"/>
            </a:ext>
          </a:extLst>
        </cdr:cNvPr>
        <cdr:cNvSpPr txBox="1"/>
      </cdr:nvSpPr>
      <cdr:spPr>
        <a:xfrm xmlns:a="http://schemas.openxmlformats.org/drawingml/2006/main">
          <a:off x="2213737" y="716464"/>
          <a:ext cx="1120804" cy="2545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EBITDA</a:t>
          </a:r>
          <a:r>
            <a:rPr lang="en-US" sz="1100" baseline="0"/>
            <a:t> Margin</a:t>
          </a:r>
          <a:endParaRPr lang="en-US" sz="1100"/>
        </a:p>
      </cdr:txBody>
    </cdr:sp>
  </cdr:relSizeAnchor>
  <cdr:relSizeAnchor xmlns:cdr="http://schemas.openxmlformats.org/drawingml/2006/chartDrawing">
    <cdr:from>
      <cdr:x>0.48076</cdr:x>
      <cdr:y>0.603</cdr:y>
    </cdr:from>
    <cdr:to>
      <cdr:x>0.6668</cdr:x>
      <cdr:y>0.72871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A62466A7-DD98-19E3-65DB-BAC63E872BFF}"/>
            </a:ext>
          </a:extLst>
        </cdr:cNvPr>
        <cdr:cNvSpPr txBox="1"/>
      </cdr:nvSpPr>
      <cdr:spPr>
        <a:xfrm xmlns:a="http://schemas.openxmlformats.org/drawingml/2006/main">
          <a:off x="2304262" y="1690026"/>
          <a:ext cx="891708" cy="3523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FCF</a:t>
          </a:r>
          <a:r>
            <a:rPr lang="en-US" sz="1100" baseline="0"/>
            <a:t> Margin</a:t>
          </a:r>
          <a:endParaRPr lang="en-US" sz="11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51226-1390-43EA-890E-55E66D6EB5F4}">
  <sheetPr>
    <tabColor theme="7" tint="-0.249977111117893"/>
  </sheetPr>
  <dimension ref="A1:G57"/>
  <sheetViews>
    <sheetView workbookViewId="0">
      <selection activeCell="E60" sqref="E60"/>
    </sheetView>
  </sheetViews>
  <sheetFormatPr defaultRowHeight="17.5" x14ac:dyDescent="0.45"/>
  <cols>
    <col min="1" max="1" width="35.69140625" customWidth="1"/>
  </cols>
  <sheetData>
    <row r="1" spans="1:7" x14ac:dyDescent="0.45">
      <c r="A1" s="79" t="s">
        <v>45</v>
      </c>
      <c r="B1" s="79"/>
      <c r="C1" s="79"/>
      <c r="D1" s="79"/>
      <c r="E1" s="79"/>
      <c r="F1" s="79"/>
      <c r="G1" s="3"/>
    </row>
    <row r="2" spans="1:7" x14ac:dyDescent="0.45">
      <c r="B2" s="3">
        <v>2018</v>
      </c>
      <c r="C2" s="3">
        <f>+B2+1</f>
        <v>2019</v>
      </c>
      <c r="D2" s="3">
        <f>+C2+1</f>
        <v>2020</v>
      </c>
      <c r="E2" s="3">
        <f>+D2+1</f>
        <v>2021</v>
      </c>
      <c r="F2" s="3">
        <f>+E2+1</f>
        <v>2022</v>
      </c>
    </row>
    <row r="3" spans="1:7" x14ac:dyDescent="0.45">
      <c r="A3" t="s">
        <v>0</v>
      </c>
      <c r="B3" s="14">
        <v>102007</v>
      </c>
      <c r="C3" s="14">
        <v>118086</v>
      </c>
      <c r="D3" s="14">
        <v>131345</v>
      </c>
      <c r="E3" s="14">
        <v>142341</v>
      </c>
      <c r="F3" s="14">
        <v>150772</v>
      </c>
    </row>
    <row r="4" spans="1:7" x14ac:dyDescent="0.45">
      <c r="A4" s="15" t="s">
        <v>1</v>
      </c>
      <c r="B4" s="16">
        <v>-39023</v>
      </c>
      <c r="C4" s="16">
        <v>-48004</v>
      </c>
      <c r="D4" s="16">
        <v>-49123</v>
      </c>
      <c r="E4" s="16">
        <v>-53254</v>
      </c>
      <c r="F4" s="16">
        <v>-57310</v>
      </c>
    </row>
    <row r="5" spans="1:7" x14ac:dyDescent="0.45">
      <c r="A5" s="3" t="s">
        <v>2</v>
      </c>
      <c r="B5" s="17">
        <f>SUM(B3:B4)</f>
        <v>62984</v>
      </c>
      <c r="C5" s="17">
        <f>SUM(C3:C4)</f>
        <v>70082</v>
      </c>
      <c r="D5" s="17">
        <f>SUM(D3:D4)</f>
        <v>82222</v>
      </c>
      <c r="E5" s="17">
        <f>SUM(E3:E4)</f>
        <v>89087</v>
      </c>
      <c r="F5" s="17">
        <f>SUM(F3:F4)</f>
        <v>93462</v>
      </c>
    </row>
    <row r="7" spans="1:7" x14ac:dyDescent="0.45">
      <c r="A7" t="s">
        <v>3</v>
      </c>
      <c r="B7" s="14">
        <v>-37390</v>
      </c>
      <c r="C7" s="14">
        <v>-32783</v>
      </c>
      <c r="D7" s="14">
        <v>-33959</v>
      </c>
      <c r="E7" s="14">
        <v>-34022</v>
      </c>
      <c r="F7" s="14">
        <v>-36657</v>
      </c>
    </row>
    <row r="8" spans="1:7" x14ac:dyDescent="0.45">
      <c r="A8" t="s">
        <v>4</v>
      </c>
      <c r="B8" s="14">
        <v>-19500</v>
      </c>
      <c r="C8" s="14">
        <v>-18150</v>
      </c>
      <c r="D8" s="14">
        <v>-17205</v>
      </c>
      <c r="E8" s="14">
        <v>-16543.5</v>
      </c>
      <c r="F8" s="14">
        <v>-16080.45</v>
      </c>
    </row>
    <row r="9" spans="1:7" x14ac:dyDescent="0.45">
      <c r="A9" s="15" t="s">
        <v>5</v>
      </c>
      <c r="B9" s="16">
        <v>-2500</v>
      </c>
      <c r="C9" s="16">
        <v>-2500</v>
      </c>
      <c r="D9" s="16">
        <v>-1500</v>
      </c>
      <c r="E9" s="16">
        <v>-900</v>
      </c>
      <c r="F9" s="16">
        <v>-900</v>
      </c>
    </row>
    <row r="10" spans="1:7" x14ac:dyDescent="0.45">
      <c r="A10" t="s">
        <v>6</v>
      </c>
      <c r="B10" s="18">
        <f>SUM(B5:B9)</f>
        <v>3594</v>
      </c>
      <c r="C10" s="18">
        <f>SUM(C5:C9)</f>
        <v>16649</v>
      </c>
      <c r="D10" s="18">
        <f>SUM(D5:D9)</f>
        <v>29558</v>
      </c>
      <c r="E10" s="18">
        <f>SUM(E5:E9)</f>
        <v>37621.5</v>
      </c>
      <c r="F10" s="18">
        <f>SUM(F5:F9)</f>
        <v>39824.550000000003</v>
      </c>
    </row>
    <row r="11" spans="1:7" x14ac:dyDescent="0.45">
      <c r="A11" s="15" t="s">
        <v>7</v>
      </c>
      <c r="B11" s="16">
        <v>-1120.1708000000001</v>
      </c>
      <c r="C11" s="16">
        <v>-4858.2165021220299</v>
      </c>
      <c r="D11" s="16">
        <v>-8482.8061148686793</v>
      </c>
      <c r="E11" s="16">
        <v>-10908.020976404699</v>
      </c>
      <c r="F11" s="16">
        <v>-11597.6652414197</v>
      </c>
    </row>
    <row r="12" spans="1:7" x14ac:dyDescent="0.45">
      <c r="A12" s="19" t="s">
        <v>39</v>
      </c>
      <c r="B12" s="20">
        <f>SUM(B10:B11)</f>
        <v>2473.8292000000001</v>
      </c>
      <c r="C12" s="20">
        <f>SUM(C10:C11)</f>
        <v>11790.78349787797</v>
      </c>
      <c r="D12" s="20">
        <f>SUM(D10:D11)</f>
        <v>21075.193885131321</v>
      </c>
      <c r="E12" s="20">
        <f>SUM(E10:E11)</f>
        <v>26713.479023595301</v>
      </c>
      <c r="F12" s="20">
        <f>SUM(F10:F11)</f>
        <v>28226.884758580301</v>
      </c>
    </row>
    <row r="14" spans="1:7" x14ac:dyDescent="0.45">
      <c r="A14" s="79" t="s">
        <v>28</v>
      </c>
      <c r="B14" s="80"/>
      <c r="C14" s="80"/>
      <c r="D14" s="80"/>
      <c r="E14" s="80"/>
      <c r="F14" s="80"/>
    </row>
    <row r="15" spans="1:7" x14ac:dyDescent="0.45">
      <c r="A15" s="9" t="s">
        <v>8</v>
      </c>
      <c r="B15" s="5"/>
      <c r="C15" s="5"/>
      <c r="D15" s="5"/>
      <c r="E15" s="5"/>
      <c r="F15" s="21"/>
    </row>
    <row r="16" spans="1:7" x14ac:dyDescent="0.45">
      <c r="A16" s="4" t="s">
        <v>24</v>
      </c>
      <c r="B16" s="5"/>
      <c r="C16" s="5"/>
      <c r="D16" s="5"/>
      <c r="E16" s="5"/>
      <c r="F16" s="21"/>
    </row>
    <row r="17" spans="1:6" x14ac:dyDescent="0.45">
      <c r="A17" s="5" t="s">
        <v>13</v>
      </c>
      <c r="B17" s="6">
        <v>45500</v>
      </c>
      <c r="C17" s="6">
        <v>42350</v>
      </c>
      <c r="D17" s="6">
        <v>40145</v>
      </c>
      <c r="E17" s="6">
        <v>38601.5</v>
      </c>
      <c r="F17" s="6">
        <v>37521.050000000003</v>
      </c>
    </row>
    <row r="18" spans="1:6" x14ac:dyDescent="0.45">
      <c r="A18" s="4" t="s">
        <v>46</v>
      </c>
    </row>
    <row r="19" spans="1:6" x14ac:dyDescent="0.45">
      <c r="A19" s="5" t="s">
        <v>9</v>
      </c>
      <c r="B19" s="6">
        <v>167971.17920000001</v>
      </c>
      <c r="C19" s="6">
        <v>181209.91269787797</v>
      </c>
      <c r="D19" s="6">
        <v>183715.25658300929</v>
      </c>
      <c r="E19" s="6">
        <v>211069.33560660461</v>
      </c>
      <c r="F19" s="6">
        <v>239549.5203651849</v>
      </c>
    </row>
    <row r="20" spans="1:6" x14ac:dyDescent="0.45">
      <c r="A20" s="5" t="s">
        <v>10</v>
      </c>
      <c r="B20" s="6">
        <v>5100.3500000000004</v>
      </c>
      <c r="C20" s="6">
        <v>5904.3</v>
      </c>
      <c r="D20" s="6">
        <v>6567.25</v>
      </c>
      <c r="E20" s="6">
        <v>7117.05</v>
      </c>
      <c r="F20" s="6">
        <v>7538.6</v>
      </c>
    </row>
    <row r="21" spans="1:6" x14ac:dyDescent="0.45">
      <c r="A21" s="7" t="s">
        <v>11</v>
      </c>
      <c r="B21" s="8">
        <v>7804.6</v>
      </c>
      <c r="C21" s="8">
        <v>9600.8000000000011</v>
      </c>
      <c r="D21" s="8">
        <v>9824.6</v>
      </c>
      <c r="E21" s="8">
        <v>10530.800000000001</v>
      </c>
      <c r="F21" s="8">
        <v>11342</v>
      </c>
    </row>
    <row r="22" spans="1:6" x14ac:dyDescent="0.45">
      <c r="A22" s="5" t="s">
        <v>12</v>
      </c>
      <c r="B22" s="11">
        <f>SUM(B19:B21)</f>
        <v>180876.12920000002</v>
      </c>
      <c r="C22" s="11">
        <f>SUM(C19:C21)</f>
        <v>196715.01269787794</v>
      </c>
      <c r="D22" s="11">
        <f>SUM(D19:D21)</f>
        <v>200107.1065830093</v>
      </c>
      <c r="E22" s="11">
        <f>SUM(E19:E21)</f>
        <v>228717.18560660459</v>
      </c>
      <c r="F22" s="11">
        <f>SUM(F19:F21)</f>
        <v>258430.12036518491</v>
      </c>
    </row>
    <row r="23" spans="1:6" x14ac:dyDescent="0.45">
      <c r="A23" s="12" t="s">
        <v>14</v>
      </c>
      <c r="B23" s="13">
        <f>+B22+B17</f>
        <v>226376.12920000002</v>
      </c>
      <c r="C23" s="13">
        <f>+C22+C17</f>
        <v>239065.01269787794</v>
      </c>
      <c r="D23" s="13">
        <f>+D22+D17</f>
        <v>240252.1065830093</v>
      </c>
      <c r="E23" s="13">
        <f>+E22+E17</f>
        <v>267318.68560660456</v>
      </c>
      <c r="F23" s="13">
        <f>+F22+F17</f>
        <v>295951.17036518489</v>
      </c>
    </row>
    <row r="25" spans="1:6" x14ac:dyDescent="0.45">
      <c r="A25" s="22" t="s">
        <v>19</v>
      </c>
      <c r="B25" s="11"/>
      <c r="C25" s="11"/>
      <c r="D25" s="11"/>
      <c r="E25" s="11"/>
      <c r="F25" s="11"/>
    </row>
    <row r="26" spans="1:6" x14ac:dyDescent="0.45">
      <c r="A26" s="5" t="s">
        <v>20</v>
      </c>
      <c r="B26" s="6">
        <v>170000</v>
      </c>
      <c r="C26" s="6">
        <v>170000</v>
      </c>
      <c r="D26" s="6">
        <v>170000</v>
      </c>
      <c r="E26" s="6">
        <v>170000</v>
      </c>
      <c r="F26" s="6">
        <v>170000</v>
      </c>
    </row>
    <row r="27" spans="1:6" x14ac:dyDescent="0.45">
      <c r="A27" s="7" t="s">
        <v>21</v>
      </c>
      <c r="B27" s="8">
        <v>2473.8292000000001</v>
      </c>
      <c r="C27" s="8">
        <v>14264.612697877968</v>
      </c>
      <c r="D27" s="8">
        <v>35339.806583009296</v>
      </c>
      <c r="E27" s="8">
        <v>62053.285606604608</v>
      </c>
      <c r="F27" s="8">
        <v>90280.170365184895</v>
      </c>
    </row>
    <row r="28" spans="1:6" x14ac:dyDescent="0.45">
      <c r="A28" s="23" t="s">
        <v>22</v>
      </c>
      <c r="B28" s="24">
        <f>SUM(B26:B27)</f>
        <v>172473.82920000001</v>
      </c>
      <c r="C28" s="24">
        <f>SUM(C26:C27)</f>
        <v>184264.61269787798</v>
      </c>
      <c r="D28" s="24">
        <f>SUM(D26:D27)</f>
        <v>205339.80658300931</v>
      </c>
      <c r="E28" s="24">
        <f>SUM(E26:E27)</f>
        <v>232053.28560660459</v>
      </c>
      <c r="F28" s="24">
        <f>SUM(F26:F27)</f>
        <v>260280.17036518489</v>
      </c>
    </row>
    <row r="29" spans="1:6" x14ac:dyDescent="0.45">
      <c r="A29" s="22" t="s">
        <v>26</v>
      </c>
      <c r="B29" s="10"/>
      <c r="C29" s="10"/>
      <c r="D29" s="10"/>
      <c r="E29" s="10"/>
      <c r="F29" s="10"/>
    </row>
    <row r="30" spans="1:6" x14ac:dyDescent="0.45">
      <c r="A30" s="7" t="s">
        <v>17</v>
      </c>
      <c r="B30" s="8">
        <v>50000</v>
      </c>
      <c r="C30" s="8">
        <v>50000</v>
      </c>
      <c r="D30" s="8">
        <v>30000</v>
      </c>
      <c r="E30" s="8">
        <v>30000</v>
      </c>
      <c r="F30" s="8">
        <v>30000</v>
      </c>
    </row>
    <row r="31" spans="1:6" x14ac:dyDescent="0.45">
      <c r="A31" t="s">
        <v>27</v>
      </c>
      <c r="B31" s="18">
        <f>SUM(B30)</f>
        <v>50000</v>
      </c>
      <c r="C31" s="18">
        <f>SUM(C30)</f>
        <v>50000</v>
      </c>
      <c r="D31" s="18">
        <f>SUM(D30)</f>
        <v>30000</v>
      </c>
      <c r="E31" s="18">
        <f>SUM(E30)</f>
        <v>30000</v>
      </c>
      <c r="F31" s="18">
        <f>SUM(F30)</f>
        <v>30000</v>
      </c>
    </row>
    <row r="32" spans="1:6" x14ac:dyDescent="0.45">
      <c r="A32" s="22" t="s">
        <v>25</v>
      </c>
      <c r="B32" s="11"/>
      <c r="C32" s="11"/>
      <c r="D32" s="11"/>
      <c r="E32" s="11"/>
      <c r="F32" s="11"/>
    </row>
    <row r="33" spans="1:6" x14ac:dyDescent="0.45">
      <c r="A33" s="7" t="s">
        <v>15</v>
      </c>
      <c r="B33" s="8">
        <v>3902.3</v>
      </c>
      <c r="C33" s="8">
        <v>4800.4000000000005</v>
      </c>
      <c r="D33" s="8">
        <v>4912.3</v>
      </c>
      <c r="E33" s="8">
        <v>5265.4000000000005</v>
      </c>
      <c r="F33" s="8">
        <v>5671</v>
      </c>
    </row>
    <row r="34" spans="1:6" x14ac:dyDescent="0.45">
      <c r="A34" s="5" t="s">
        <v>16</v>
      </c>
      <c r="B34" s="11">
        <f>+B33</f>
        <v>3902.3</v>
      </c>
      <c r="C34" s="11">
        <f>+C33</f>
        <v>4800.4000000000005</v>
      </c>
      <c r="D34" s="11">
        <f>+D33</f>
        <v>4912.3</v>
      </c>
      <c r="E34" s="11">
        <f>+E33</f>
        <v>5265.4000000000005</v>
      </c>
      <c r="F34" s="11">
        <f>+F33</f>
        <v>5671</v>
      </c>
    </row>
    <row r="35" spans="1:6" x14ac:dyDescent="0.45">
      <c r="A35" s="9" t="s">
        <v>18</v>
      </c>
      <c r="B35" s="10">
        <f>B31+B34</f>
        <v>53902.3</v>
      </c>
      <c r="C35" s="10">
        <f>C31+C34</f>
        <v>54800.4</v>
      </c>
      <c r="D35" s="10">
        <f>D31+D34</f>
        <v>34912.300000000003</v>
      </c>
      <c r="E35" s="10">
        <f>E31+E34</f>
        <v>35265.4</v>
      </c>
      <c r="F35" s="10">
        <f>F31+F34</f>
        <v>35671</v>
      </c>
    </row>
    <row r="36" spans="1:6" x14ac:dyDescent="0.45">
      <c r="A36" s="12" t="s">
        <v>23</v>
      </c>
      <c r="B36" s="13">
        <f>+B28+B35</f>
        <v>226376.12920000002</v>
      </c>
      <c r="C36" s="13">
        <f>+C28+C35</f>
        <v>239065.01269787797</v>
      </c>
      <c r="D36" s="13">
        <f>+D28+D35</f>
        <v>240252.1065830093</v>
      </c>
      <c r="E36" s="13">
        <f>+E28+E35</f>
        <v>267318.68560660462</v>
      </c>
      <c r="F36" s="13">
        <f>+F28+F35</f>
        <v>295951.17036518489</v>
      </c>
    </row>
    <row r="37" spans="1:6" x14ac:dyDescent="0.45">
      <c r="A37" s="1"/>
      <c r="B37" s="2"/>
      <c r="C37" s="2"/>
      <c r="D37" s="2"/>
      <c r="E37" s="2"/>
      <c r="F37" s="2"/>
    </row>
    <row r="38" spans="1:6" x14ac:dyDescent="0.45">
      <c r="A38" s="79" t="s">
        <v>38</v>
      </c>
      <c r="B38" s="80"/>
      <c r="C38" s="80"/>
      <c r="D38" s="80"/>
      <c r="E38" s="80"/>
      <c r="F38" s="80"/>
    </row>
    <row r="39" spans="1:6" x14ac:dyDescent="0.45">
      <c r="A39" s="9" t="s">
        <v>29</v>
      </c>
      <c r="B39" s="5"/>
      <c r="C39" s="5"/>
      <c r="D39" s="5"/>
      <c r="E39" s="5"/>
      <c r="F39" s="5"/>
    </row>
    <row r="40" spans="1:6" x14ac:dyDescent="0.45">
      <c r="A40" s="5" t="s">
        <v>39</v>
      </c>
      <c r="B40" s="6">
        <v>2473.8292000000001</v>
      </c>
      <c r="C40" s="6">
        <v>11790.78349787797</v>
      </c>
      <c r="D40" s="6">
        <v>21075.193885131321</v>
      </c>
      <c r="E40" s="6">
        <v>26713.479023595301</v>
      </c>
      <c r="F40" s="6">
        <v>28226.884758580301</v>
      </c>
    </row>
    <row r="41" spans="1:6" x14ac:dyDescent="0.45">
      <c r="A41" s="5" t="s">
        <v>30</v>
      </c>
      <c r="B41" s="11"/>
      <c r="C41" s="11"/>
      <c r="D41" s="11"/>
      <c r="E41" s="11"/>
      <c r="F41" s="11"/>
    </row>
    <row r="42" spans="1:6" x14ac:dyDescent="0.45">
      <c r="A42" s="25" t="s">
        <v>4</v>
      </c>
      <c r="B42" s="6">
        <v>19500</v>
      </c>
      <c r="C42" s="6">
        <v>18150</v>
      </c>
      <c r="D42" s="6">
        <v>17205</v>
      </c>
      <c r="E42" s="6">
        <v>16543.5</v>
      </c>
      <c r="F42" s="6">
        <v>16080.45</v>
      </c>
    </row>
    <row r="43" spans="1:6" x14ac:dyDescent="0.45">
      <c r="A43" s="26" t="s">
        <v>31</v>
      </c>
      <c r="B43" s="8">
        <v>-9002.65</v>
      </c>
      <c r="C43" s="8">
        <v>-1702.05</v>
      </c>
      <c r="D43" s="8">
        <v>-774.849999999999</v>
      </c>
      <c r="E43" s="8">
        <v>-902.900000000001</v>
      </c>
      <c r="F43" s="8">
        <v>-827.14999999999804</v>
      </c>
    </row>
    <row r="44" spans="1:6" x14ac:dyDescent="0.45">
      <c r="A44" s="9" t="s">
        <v>32</v>
      </c>
      <c r="B44" s="10">
        <f>SUM(B40:B43)</f>
        <v>12971.1792</v>
      </c>
      <c r="C44" s="10">
        <f>SUM(C40:C43)</f>
        <v>28238.733497877973</v>
      </c>
      <c r="D44" s="10">
        <f>SUM(D40:D43)</f>
        <v>37505.343885131319</v>
      </c>
      <c r="E44" s="10">
        <f>SUM(E40:E43)</f>
        <v>42354.079023595295</v>
      </c>
      <c r="F44" s="10">
        <f>SUM(F40:F43)</f>
        <v>43480.184758580297</v>
      </c>
    </row>
    <row r="45" spans="1:6" x14ac:dyDescent="0.45">
      <c r="A45" s="5"/>
      <c r="B45" s="11"/>
      <c r="C45" s="11"/>
      <c r="D45" s="11"/>
      <c r="E45" s="11"/>
      <c r="F45" s="11"/>
    </row>
    <row r="46" spans="1:6" x14ac:dyDescent="0.45">
      <c r="A46" s="9" t="s">
        <v>33</v>
      </c>
      <c r="B46" s="11"/>
      <c r="C46" s="11"/>
      <c r="D46" s="11"/>
      <c r="E46" s="11"/>
      <c r="F46" s="11"/>
    </row>
    <row r="47" spans="1:6" x14ac:dyDescent="0.45">
      <c r="A47" s="7" t="s">
        <v>42</v>
      </c>
      <c r="B47" s="8">
        <v>-15000</v>
      </c>
      <c r="C47" s="8">
        <v>-15000</v>
      </c>
      <c r="D47" s="8">
        <v>-15000</v>
      </c>
      <c r="E47" s="8">
        <v>-15000</v>
      </c>
      <c r="F47" s="8">
        <v>-15000</v>
      </c>
    </row>
    <row r="48" spans="1:6" x14ac:dyDescent="0.45">
      <c r="A48" s="9" t="s">
        <v>34</v>
      </c>
      <c r="B48" s="10">
        <f>+B47</f>
        <v>-15000</v>
      </c>
      <c r="C48" s="10">
        <f>+C47</f>
        <v>-15000</v>
      </c>
      <c r="D48" s="10">
        <f>+D47</f>
        <v>-15000</v>
      </c>
      <c r="E48" s="10">
        <f>+E47</f>
        <v>-15000</v>
      </c>
      <c r="F48" s="10">
        <f>+F47</f>
        <v>-15000</v>
      </c>
    </row>
    <row r="49" spans="1:6" x14ac:dyDescent="0.45">
      <c r="A49" s="5"/>
      <c r="B49" s="11"/>
      <c r="C49" s="11"/>
      <c r="D49" s="11"/>
      <c r="E49" s="11"/>
      <c r="F49" s="11"/>
    </row>
    <row r="50" spans="1:6" x14ac:dyDescent="0.45">
      <c r="A50" s="9" t="s">
        <v>35</v>
      </c>
      <c r="B50" s="11"/>
      <c r="C50" s="11"/>
      <c r="D50" s="11"/>
      <c r="E50" s="11"/>
      <c r="F50" s="11"/>
    </row>
    <row r="51" spans="1:6" x14ac:dyDescent="0.45">
      <c r="A51" s="5" t="s">
        <v>41</v>
      </c>
      <c r="B51" s="6">
        <v>0</v>
      </c>
      <c r="C51" s="6">
        <v>0</v>
      </c>
      <c r="D51" s="6">
        <v>-20000</v>
      </c>
      <c r="E51" s="6">
        <v>0</v>
      </c>
      <c r="F51" s="6">
        <v>0</v>
      </c>
    </row>
    <row r="52" spans="1:6" x14ac:dyDescent="0.45">
      <c r="A52" s="7" t="s">
        <v>40</v>
      </c>
      <c r="B52" s="8">
        <v>170000</v>
      </c>
      <c r="C52" s="8">
        <v>0</v>
      </c>
      <c r="D52" s="8">
        <v>0</v>
      </c>
      <c r="E52" s="8">
        <v>0</v>
      </c>
      <c r="F52" s="8">
        <v>0</v>
      </c>
    </row>
    <row r="53" spans="1:6" x14ac:dyDescent="0.45">
      <c r="A53" s="9" t="s">
        <v>36</v>
      </c>
      <c r="B53" s="10">
        <f>SUM(B51:B52)</f>
        <v>170000</v>
      </c>
      <c r="C53" s="10">
        <f>SUM(C51:C52)</f>
        <v>0</v>
      </c>
      <c r="D53" s="10">
        <f>SUM(D51:D52)</f>
        <v>-20000</v>
      </c>
      <c r="E53" s="10">
        <f>SUM(E51:E52)</f>
        <v>0</v>
      </c>
      <c r="F53" s="10">
        <f>SUM(F51:F52)</f>
        <v>0</v>
      </c>
    </row>
    <row r="54" spans="1:6" x14ac:dyDescent="0.45">
      <c r="A54" s="5"/>
      <c r="B54" s="11"/>
      <c r="C54" s="11"/>
      <c r="D54" s="11"/>
      <c r="E54" s="11"/>
      <c r="F54" s="11"/>
    </row>
    <row r="55" spans="1:6" x14ac:dyDescent="0.45">
      <c r="A55" s="9" t="s">
        <v>37</v>
      </c>
      <c r="B55" s="10">
        <f>+B44+B48+B53</f>
        <v>167971.17920000001</v>
      </c>
      <c r="C55" s="10">
        <f>+C44+C48+C53</f>
        <v>13238.733497877973</v>
      </c>
      <c r="D55" s="10">
        <f>+D44+D48+D53</f>
        <v>2505.3438851313185</v>
      </c>
      <c r="E55" s="10">
        <f>+E44+E48+E53</f>
        <v>27354.079023595295</v>
      </c>
      <c r="F55" s="10">
        <f>+F44+F48+F53</f>
        <v>28480.184758580297</v>
      </c>
    </row>
    <row r="56" spans="1:6" x14ac:dyDescent="0.45">
      <c r="A56" s="7" t="s">
        <v>43</v>
      </c>
      <c r="B56" s="8">
        <v>0</v>
      </c>
      <c r="C56" s="8">
        <v>167971.17920000001</v>
      </c>
      <c r="D56" s="8">
        <v>181209.91269787797</v>
      </c>
      <c r="E56" s="8">
        <v>183715.25658300929</v>
      </c>
      <c r="F56" s="8">
        <v>211069.33560660461</v>
      </c>
    </row>
    <row r="57" spans="1:6" x14ac:dyDescent="0.45">
      <c r="A57" s="12" t="s">
        <v>44</v>
      </c>
      <c r="B57" s="13">
        <f>+B55+B56</f>
        <v>167971.17920000001</v>
      </c>
      <c r="C57" s="13">
        <f>+C55+C56</f>
        <v>181209.912697878</v>
      </c>
      <c r="D57" s="13">
        <f>+D55+D56</f>
        <v>183715.25658300929</v>
      </c>
      <c r="E57" s="13">
        <f>+E55+E56</f>
        <v>211069.33560660458</v>
      </c>
      <c r="F57" s="13">
        <f>+F55+F56</f>
        <v>239549.5203651849</v>
      </c>
    </row>
  </sheetData>
  <mergeCells count="3">
    <mergeCell ref="A1:F1"/>
    <mergeCell ref="A14:F14"/>
    <mergeCell ref="A38:F38"/>
  </mergeCells>
  <pageMargins left="0.7" right="0.7" top="0.75" bottom="0.75" header="0.3" footer="0.3"/>
  <ignoredErrors>
    <ignoredError sqref="B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461AF-0E27-4674-AE37-355F248D7AD9}">
  <sheetPr>
    <tabColor theme="7" tint="-0.249977111117893"/>
  </sheetPr>
  <dimension ref="A1:N100"/>
  <sheetViews>
    <sheetView showGridLines="0" tabSelected="1" zoomScale="62" workbookViewId="0">
      <pane xSplit="1" ySplit="4" topLeftCell="B88" activePane="bottomRight" state="frozen"/>
      <selection pane="topRight" activeCell="B1" sqref="B1"/>
      <selection pane="bottomLeft" activeCell="A5" sqref="A5"/>
      <selection pane="bottomRight" activeCell="B31" sqref="B31"/>
    </sheetView>
  </sheetViews>
  <sheetFormatPr defaultRowHeight="17.5" outlineLevelRow="1" x14ac:dyDescent="0.45"/>
  <cols>
    <col min="1" max="1" width="33.3828125" customWidth="1"/>
    <col min="7" max="7" width="11.15234375" bestFit="1" customWidth="1"/>
    <col min="8" max="8" width="13.4609375" customWidth="1"/>
    <col min="9" max="9" width="12.921875" customWidth="1"/>
    <col min="10" max="10" width="12.3046875" customWidth="1"/>
    <col min="11" max="11" width="13.3046875" customWidth="1"/>
    <col min="12" max="12" width="14.3046875" customWidth="1"/>
    <col min="13" max="13" width="13.4609375" customWidth="1"/>
    <col min="14" max="14" width="11.53515625" customWidth="1"/>
  </cols>
  <sheetData>
    <row r="1" spans="1:14" ht="21" x14ac:dyDescent="0.55000000000000004">
      <c r="C1" s="28" t="s">
        <v>47</v>
      </c>
    </row>
    <row r="2" spans="1:14" x14ac:dyDescent="0.45">
      <c r="A2" s="27" t="s">
        <v>48</v>
      </c>
      <c r="B2" s="29">
        <v>2018</v>
      </c>
      <c r="C2" s="29">
        <f>+B2+1</f>
        <v>2019</v>
      </c>
      <c r="D2" s="29">
        <f>+C2+1</f>
        <v>2020</v>
      </c>
      <c r="E2" s="29">
        <f t="shared" ref="E2:I2" si="0">+D2+1</f>
        <v>2021</v>
      </c>
      <c r="F2" s="29">
        <f t="shared" si="0"/>
        <v>2022</v>
      </c>
      <c r="G2" s="30">
        <f>+F2+1</f>
        <v>2023</v>
      </c>
      <c r="H2" s="30">
        <f t="shared" si="0"/>
        <v>2024</v>
      </c>
      <c r="I2" s="30">
        <f t="shared" si="0"/>
        <v>2025</v>
      </c>
      <c r="J2" s="30">
        <f>+I2+1</f>
        <v>2026</v>
      </c>
      <c r="K2" s="30">
        <f>+J2+1</f>
        <v>2027</v>
      </c>
      <c r="L2" s="30">
        <f t="shared" ref="L2:M2" si="1">+K2+1</f>
        <v>2028</v>
      </c>
      <c r="M2" s="30">
        <f t="shared" si="1"/>
        <v>2029</v>
      </c>
      <c r="N2" s="30">
        <f>+M2+1</f>
        <v>2030</v>
      </c>
    </row>
    <row r="3" spans="1:14" x14ac:dyDescent="0.45">
      <c r="A3" s="34" t="s">
        <v>66</v>
      </c>
      <c r="B3" s="42">
        <v>365</v>
      </c>
      <c r="C3" s="42">
        <v>365</v>
      </c>
      <c r="D3" s="42">
        <v>365</v>
      </c>
      <c r="E3" s="42">
        <v>365</v>
      </c>
      <c r="F3" s="42">
        <v>365</v>
      </c>
      <c r="G3" s="42">
        <v>365</v>
      </c>
      <c r="H3" s="42">
        <v>365</v>
      </c>
      <c r="I3" s="42">
        <v>365</v>
      </c>
      <c r="J3" s="42">
        <v>365</v>
      </c>
      <c r="K3" s="42">
        <v>365</v>
      </c>
      <c r="L3" s="42">
        <v>365</v>
      </c>
      <c r="M3" s="42">
        <v>365</v>
      </c>
      <c r="N3" s="42">
        <v>365</v>
      </c>
    </row>
    <row r="4" spans="1:14" x14ac:dyDescent="0.45">
      <c r="A4" s="33" t="s">
        <v>67</v>
      </c>
      <c r="B4" s="45" t="str">
        <f>IF(ABS(B45-B58)&gt;1,"Error","OK")</f>
        <v>OK</v>
      </c>
      <c r="C4" s="45" t="str">
        <f t="shared" ref="C4:N4" si="2">IF(ABS(C45-C58)&gt;1,"Error","OK")</f>
        <v>OK</v>
      </c>
      <c r="D4" s="45" t="str">
        <f t="shared" si="2"/>
        <v>OK</v>
      </c>
      <c r="E4" s="45" t="str">
        <f t="shared" si="2"/>
        <v>OK</v>
      </c>
      <c r="F4" s="45" t="str">
        <f t="shared" si="2"/>
        <v>OK</v>
      </c>
      <c r="G4" s="45" t="str">
        <f t="shared" si="2"/>
        <v>OK</v>
      </c>
      <c r="H4" s="45" t="str">
        <f t="shared" si="2"/>
        <v>OK</v>
      </c>
      <c r="I4" s="45" t="str">
        <f t="shared" si="2"/>
        <v>OK</v>
      </c>
      <c r="J4" s="45" t="str">
        <f t="shared" si="2"/>
        <v>OK</v>
      </c>
      <c r="K4" s="45" t="str">
        <f t="shared" si="2"/>
        <v>OK</v>
      </c>
      <c r="L4" s="45" t="str">
        <f t="shared" si="2"/>
        <v>OK</v>
      </c>
      <c r="M4" s="45" t="str">
        <f t="shared" si="2"/>
        <v>OK</v>
      </c>
      <c r="N4" s="45" t="str">
        <f t="shared" si="2"/>
        <v>OK</v>
      </c>
    </row>
    <row r="5" spans="1:14" x14ac:dyDescent="0.45">
      <c r="A5" s="3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</row>
    <row r="6" spans="1:14" x14ac:dyDescent="0.45">
      <c r="A6" s="51" t="s">
        <v>49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</row>
    <row r="7" spans="1:14" outlineLevel="1" x14ac:dyDescent="0.45">
      <c r="A7" s="27" t="s">
        <v>55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</row>
    <row r="8" spans="1:14" outlineLevel="1" x14ac:dyDescent="0.45">
      <c r="A8" t="s">
        <v>53</v>
      </c>
      <c r="B8" s="31"/>
      <c r="C8" s="31">
        <f>(C24/B24)-1</f>
        <v>0.15762643740135474</v>
      </c>
      <c r="D8" s="31">
        <f t="shared" ref="D8:F8" si="3">(D24/C24)-1</f>
        <v>0.1122825737174602</v>
      </c>
      <c r="E8" s="31">
        <f t="shared" si="3"/>
        <v>8.3718451406600947E-2</v>
      </c>
      <c r="F8" s="31">
        <f t="shared" si="3"/>
        <v>5.9231001608812672E-2</v>
      </c>
      <c r="G8" s="32">
        <v>0.1</v>
      </c>
      <c r="H8" s="32">
        <v>0.1</v>
      </c>
      <c r="I8" s="32">
        <v>0.1</v>
      </c>
      <c r="J8" s="32">
        <v>0.1</v>
      </c>
      <c r="K8" s="32">
        <v>0.1</v>
      </c>
      <c r="L8" s="32">
        <v>0.1</v>
      </c>
      <c r="M8" s="32">
        <v>0.1</v>
      </c>
      <c r="N8" s="32">
        <v>0.1</v>
      </c>
    </row>
    <row r="9" spans="1:14" outlineLevel="1" x14ac:dyDescent="0.45">
      <c r="A9" t="s">
        <v>54</v>
      </c>
      <c r="B9" s="31">
        <f>B26/B24</f>
        <v>0.61744782220827987</v>
      </c>
      <c r="C9" s="31">
        <f t="shared" ref="C9:F9" si="4">C26/C24</f>
        <v>0.59348271598665381</v>
      </c>
      <c r="D9" s="31">
        <f t="shared" si="4"/>
        <v>0.62600022840610603</v>
      </c>
      <c r="E9" s="31">
        <f t="shared" si="4"/>
        <v>0.62587026928291922</v>
      </c>
      <c r="F9" s="31">
        <f t="shared" si="4"/>
        <v>0.61988963468017932</v>
      </c>
      <c r="G9" s="32">
        <v>0.62</v>
      </c>
      <c r="H9" s="32">
        <v>0.62</v>
      </c>
      <c r="I9" s="32">
        <v>0.62</v>
      </c>
      <c r="J9" s="32">
        <v>0.62</v>
      </c>
      <c r="K9" s="32">
        <v>0.62</v>
      </c>
      <c r="L9" s="32">
        <v>0.62</v>
      </c>
      <c r="M9" s="32">
        <v>0.62</v>
      </c>
      <c r="N9" s="32">
        <v>0.62</v>
      </c>
    </row>
    <row r="10" spans="1:14" outlineLevel="1" x14ac:dyDescent="0.45">
      <c r="A10" t="s">
        <v>56</v>
      </c>
      <c r="B10" s="31">
        <f>-B28/B24</f>
        <v>0.36654347250678876</v>
      </c>
      <c r="C10" s="31">
        <f t="shared" ref="C10:F10" si="5">-C28/C24</f>
        <v>0.27761970089595717</v>
      </c>
      <c r="D10" s="31">
        <f t="shared" si="5"/>
        <v>0.2585480985191671</v>
      </c>
      <c r="E10" s="31">
        <f t="shared" si="5"/>
        <v>0.23901757048215203</v>
      </c>
      <c r="F10" s="31">
        <f t="shared" si="5"/>
        <v>0.24312869763616587</v>
      </c>
      <c r="G10" s="32">
        <v>0.2</v>
      </c>
      <c r="H10" s="32">
        <v>0.2</v>
      </c>
      <c r="I10" s="32">
        <v>0.2</v>
      </c>
      <c r="J10" s="32">
        <v>0.2</v>
      </c>
      <c r="K10" s="32">
        <v>0.2</v>
      </c>
      <c r="L10" s="32">
        <v>0.2</v>
      </c>
      <c r="M10" s="32">
        <v>0.2</v>
      </c>
      <c r="N10" s="32">
        <v>0.2</v>
      </c>
    </row>
    <row r="11" spans="1:14" outlineLevel="1" x14ac:dyDescent="0.45">
      <c r="A11" t="s">
        <v>57</v>
      </c>
      <c r="B11" s="31">
        <f>-B29/B24</f>
        <v>0.1911633515346986</v>
      </c>
      <c r="C11" s="31">
        <f t="shared" ref="C11:F11" si="6">-C29/C24</f>
        <v>0.15370153955591687</v>
      </c>
      <c r="D11" s="31">
        <f t="shared" si="6"/>
        <v>0.13099090182344209</v>
      </c>
      <c r="E11" s="31">
        <f t="shared" si="6"/>
        <v>0.1162244188252155</v>
      </c>
      <c r="F11" s="31">
        <f t="shared" si="6"/>
        <v>0.10665408696574961</v>
      </c>
      <c r="G11" s="32">
        <v>0.1</v>
      </c>
      <c r="H11" s="32">
        <v>0.1</v>
      </c>
      <c r="I11" s="32">
        <v>0.1</v>
      </c>
      <c r="J11" s="32">
        <v>0.1</v>
      </c>
      <c r="K11" s="32">
        <v>0.1</v>
      </c>
      <c r="L11" s="32">
        <v>0.1</v>
      </c>
      <c r="M11" s="32">
        <v>0.1</v>
      </c>
      <c r="N11" s="32">
        <v>0.1</v>
      </c>
    </row>
    <row r="12" spans="1:14" outlineLevel="1" x14ac:dyDescent="0.45">
      <c r="A12" t="s">
        <v>58</v>
      </c>
      <c r="B12" s="31">
        <f>-B30/B52</f>
        <v>0.05</v>
      </c>
      <c r="C12" s="31">
        <f t="shared" ref="C12:F12" si="7">-C30/C52</f>
        <v>0.05</v>
      </c>
      <c r="D12" s="31">
        <f t="shared" si="7"/>
        <v>0.05</v>
      </c>
      <c r="E12" s="31">
        <f t="shared" si="7"/>
        <v>0.03</v>
      </c>
      <c r="F12" s="31">
        <f t="shared" si="7"/>
        <v>0.03</v>
      </c>
      <c r="G12" s="32">
        <v>0.03</v>
      </c>
      <c r="H12" s="32">
        <v>0.03</v>
      </c>
      <c r="I12" s="32">
        <v>0.03</v>
      </c>
      <c r="J12" s="32">
        <v>0.03</v>
      </c>
      <c r="K12" s="32">
        <v>0.03</v>
      </c>
      <c r="L12" s="32">
        <v>0.03</v>
      </c>
      <c r="M12" s="32">
        <v>0.03</v>
      </c>
      <c r="N12" s="32">
        <v>0.03</v>
      </c>
    </row>
    <row r="13" spans="1:14" outlineLevel="1" x14ac:dyDescent="0.45">
      <c r="A13" t="s">
        <v>59</v>
      </c>
      <c r="B13" s="31">
        <f>-B32/B31</f>
        <v>0.31167801892042296</v>
      </c>
      <c r="C13" s="31">
        <f t="shared" ref="C13:F13" si="8">-C32/C31</f>
        <v>0.29180230056592166</v>
      </c>
      <c r="D13" s="31">
        <f t="shared" si="8"/>
        <v>0.28698850107817442</v>
      </c>
      <c r="E13" s="31">
        <f t="shared" si="8"/>
        <v>0.28994115004464732</v>
      </c>
      <c r="F13" s="31">
        <f t="shared" si="8"/>
        <v>0.29121899033183546</v>
      </c>
      <c r="G13" s="32">
        <v>0.3</v>
      </c>
      <c r="H13" s="32">
        <v>0.3</v>
      </c>
      <c r="I13" s="32">
        <v>0.3</v>
      </c>
      <c r="J13" s="32">
        <v>0.3</v>
      </c>
      <c r="K13" s="32">
        <v>0.3</v>
      </c>
      <c r="L13" s="32">
        <v>0.3</v>
      </c>
      <c r="M13" s="32">
        <v>0.3</v>
      </c>
      <c r="N13" s="32">
        <v>0.3</v>
      </c>
    </row>
    <row r="14" spans="1:14" outlineLevel="1" x14ac:dyDescent="0.45">
      <c r="B14" t="s">
        <v>60</v>
      </c>
    </row>
    <row r="15" spans="1:14" outlineLevel="1" x14ac:dyDescent="0.45">
      <c r="A15" s="27" t="s">
        <v>51</v>
      </c>
    </row>
    <row r="16" spans="1:14" outlineLevel="1" x14ac:dyDescent="0.45">
      <c r="A16" t="s">
        <v>61</v>
      </c>
      <c r="B16" s="35">
        <f>B24/B39</f>
        <v>2.241912087912088</v>
      </c>
      <c r="C16" s="35">
        <f t="shared" ref="C16:F16" si="9">C24/C39</f>
        <v>2.788335301062574</v>
      </c>
      <c r="D16" s="35">
        <f t="shared" si="9"/>
        <v>3.2717648524100138</v>
      </c>
      <c r="E16" s="35">
        <f t="shared" si="9"/>
        <v>3.687447378987863</v>
      </c>
      <c r="F16" s="35">
        <f t="shared" si="9"/>
        <v>4.0183310435075779</v>
      </c>
      <c r="G16" s="37">
        <v>4</v>
      </c>
      <c r="H16" s="37">
        <v>4</v>
      </c>
      <c r="I16" s="37">
        <v>4</v>
      </c>
      <c r="J16" s="37">
        <v>4</v>
      </c>
      <c r="K16" s="37">
        <v>4</v>
      </c>
      <c r="L16" s="37">
        <v>4</v>
      </c>
      <c r="M16" s="37">
        <v>4</v>
      </c>
      <c r="N16" s="37">
        <v>4</v>
      </c>
    </row>
    <row r="17" spans="1:14" outlineLevel="1" x14ac:dyDescent="0.45">
      <c r="A17" t="s">
        <v>62</v>
      </c>
      <c r="B17" s="34">
        <f>B42/B24*B3</f>
        <v>18.25</v>
      </c>
      <c r="C17" s="34">
        <f>C42/C24*C3</f>
        <v>18.25</v>
      </c>
      <c r="D17" s="34">
        <f>D42/D24*D3</f>
        <v>18.25</v>
      </c>
      <c r="E17" s="34">
        <f>E42/E24*E3</f>
        <v>18.25</v>
      </c>
      <c r="F17" s="34">
        <f>F42/F24*F3</f>
        <v>18.25</v>
      </c>
      <c r="G17" s="43">
        <v>18</v>
      </c>
      <c r="H17" s="43">
        <v>18</v>
      </c>
      <c r="I17" s="43">
        <v>18</v>
      </c>
      <c r="J17" s="43">
        <v>18</v>
      </c>
      <c r="K17" s="43">
        <v>18</v>
      </c>
      <c r="L17" s="43">
        <v>18</v>
      </c>
      <c r="M17" s="43">
        <v>18</v>
      </c>
      <c r="N17" s="43">
        <v>18</v>
      </c>
    </row>
    <row r="18" spans="1:14" outlineLevel="1" x14ac:dyDescent="0.45">
      <c r="A18" t="s">
        <v>63</v>
      </c>
      <c r="B18" s="34">
        <f>(B43/-B25)*B3</f>
        <v>73</v>
      </c>
      <c r="C18" s="34">
        <f>(C43/-C25)*C3</f>
        <v>73</v>
      </c>
      <c r="D18" s="34">
        <f>(D43/-D25)*D3</f>
        <v>73</v>
      </c>
      <c r="E18" s="34">
        <f>(E43/-E25)*E3</f>
        <v>72.177526570774035</v>
      </c>
      <c r="F18" s="34">
        <f>(F43/-F25)*F3</f>
        <v>72.235735473739311</v>
      </c>
      <c r="G18" s="43">
        <v>72</v>
      </c>
      <c r="H18" s="43">
        <v>72</v>
      </c>
      <c r="I18" s="43">
        <v>72</v>
      </c>
      <c r="J18" s="43">
        <v>72</v>
      </c>
      <c r="K18" s="43">
        <v>72</v>
      </c>
      <c r="L18" s="43">
        <v>72</v>
      </c>
      <c r="M18" s="43">
        <v>72</v>
      </c>
      <c r="N18" s="43">
        <v>72</v>
      </c>
    </row>
    <row r="19" spans="1:14" outlineLevel="1" x14ac:dyDescent="0.45">
      <c r="A19" t="s">
        <v>64</v>
      </c>
      <c r="B19" s="34">
        <f>(B55/-B25)*B3</f>
        <v>36.5</v>
      </c>
      <c r="C19" s="34">
        <f>(C55/-C25)*C3</f>
        <v>36.5</v>
      </c>
      <c r="D19" s="34">
        <f>(D55/-D25)*D3</f>
        <v>36.5</v>
      </c>
      <c r="E19" s="34">
        <f>(E55/-E25)*E3</f>
        <v>36.088763285387017</v>
      </c>
      <c r="F19" s="34">
        <f>(F55/-F25)*F3</f>
        <v>36.117867736869655</v>
      </c>
      <c r="G19" s="43">
        <v>36</v>
      </c>
      <c r="H19" s="43">
        <v>36</v>
      </c>
      <c r="I19" s="43">
        <v>36</v>
      </c>
      <c r="J19" s="43">
        <v>36</v>
      </c>
      <c r="K19" s="43">
        <v>36</v>
      </c>
      <c r="L19" s="43">
        <v>36</v>
      </c>
      <c r="M19" s="43">
        <v>36</v>
      </c>
      <c r="N19" s="43">
        <v>36</v>
      </c>
    </row>
    <row r="20" spans="1:14" outlineLevel="1" x14ac:dyDescent="0.45">
      <c r="A20" t="s">
        <v>65</v>
      </c>
      <c r="B20" s="36">
        <f>B52</f>
        <v>50000</v>
      </c>
      <c r="C20" s="36">
        <f t="shared" ref="C20:F20" si="10">C52</f>
        <v>50000</v>
      </c>
      <c r="D20" s="36">
        <f t="shared" si="10"/>
        <v>30000</v>
      </c>
      <c r="E20" s="36">
        <f t="shared" si="10"/>
        <v>30000</v>
      </c>
      <c r="F20" s="36">
        <f t="shared" si="10"/>
        <v>30000</v>
      </c>
      <c r="G20" s="36">
        <v>30000</v>
      </c>
      <c r="H20" s="36">
        <v>30000</v>
      </c>
      <c r="I20" s="36">
        <v>30000</v>
      </c>
      <c r="J20" s="36">
        <v>30000</v>
      </c>
      <c r="K20" s="36">
        <v>30000</v>
      </c>
      <c r="L20" s="36">
        <v>30000</v>
      </c>
      <c r="M20" s="36">
        <v>30000</v>
      </c>
      <c r="N20" s="36">
        <v>30000</v>
      </c>
    </row>
    <row r="23" spans="1:14" x14ac:dyDescent="0.45">
      <c r="A23" s="51" t="s">
        <v>50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</row>
    <row r="24" spans="1:14" outlineLevel="1" x14ac:dyDescent="0.45">
      <c r="A24" t="s">
        <v>0</v>
      </c>
      <c r="B24" s="14">
        <v>102007</v>
      </c>
      <c r="C24" s="14">
        <v>118086</v>
      </c>
      <c r="D24" s="14">
        <v>131345</v>
      </c>
      <c r="E24" s="14">
        <v>142341</v>
      </c>
      <c r="F24" s="14">
        <v>150772</v>
      </c>
      <c r="G24" s="38">
        <f t="shared" ref="G24:N24" si="11">F24*(1+G8)</f>
        <v>165849.20000000001</v>
      </c>
      <c r="H24" s="38">
        <f t="shared" si="11"/>
        <v>182434.12000000002</v>
      </c>
      <c r="I24" s="38">
        <f t="shared" si="11"/>
        <v>200677.53200000004</v>
      </c>
      <c r="J24" s="38">
        <f t="shared" si="11"/>
        <v>220745.28520000007</v>
      </c>
      <c r="K24" s="38">
        <f t="shared" si="11"/>
        <v>242819.81372000009</v>
      </c>
      <c r="L24" s="38">
        <f t="shared" si="11"/>
        <v>267101.7950920001</v>
      </c>
      <c r="M24" s="38">
        <f t="shared" si="11"/>
        <v>293811.97460120014</v>
      </c>
      <c r="N24" s="38">
        <f t="shared" si="11"/>
        <v>323193.17206132016</v>
      </c>
    </row>
    <row r="25" spans="1:14" outlineLevel="1" x14ac:dyDescent="0.45">
      <c r="A25" s="15" t="s">
        <v>1</v>
      </c>
      <c r="B25" s="16">
        <v>-39023</v>
      </c>
      <c r="C25" s="16">
        <v>-48004</v>
      </c>
      <c r="D25" s="16">
        <v>-49123</v>
      </c>
      <c r="E25" s="16">
        <v>-53254</v>
      </c>
      <c r="F25" s="16">
        <v>-57310</v>
      </c>
      <c r="G25" s="38">
        <f t="shared" ref="G25:N25" si="12">G24*(1-G9)</f>
        <v>63022.696000000004</v>
      </c>
      <c r="H25" s="38">
        <f t="shared" si="12"/>
        <v>69324.96560000001</v>
      </c>
      <c r="I25" s="38">
        <f t="shared" si="12"/>
        <v>76257.46216000001</v>
      </c>
      <c r="J25" s="38">
        <f t="shared" si="12"/>
        <v>83883.208376000024</v>
      </c>
      <c r="K25" s="38">
        <f t="shared" si="12"/>
        <v>92271.529213600035</v>
      </c>
      <c r="L25" s="38">
        <f t="shared" si="12"/>
        <v>101498.68213496004</v>
      </c>
      <c r="M25" s="38">
        <f t="shared" si="12"/>
        <v>111648.55034845606</v>
      </c>
      <c r="N25" s="38">
        <f t="shared" si="12"/>
        <v>122813.40538330167</v>
      </c>
    </row>
    <row r="26" spans="1:14" outlineLevel="1" x14ac:dyDescent="0.45">
      <c r="A26" s="3" t="s">
        <v>2</v>
      </c>
      <c r="B26" s="17">
        <f>SUM(B24:B25)</f>
        <v>62984</v>
      </c>
      <c r="C26" s="17">
        <f>SUM(C24:C25)</f>
        <v>70082</v>
      </c>
      <c r="D26" s="17">
        <f>SUM(D24:D25)</f>
        <v>82222</v>
      </c>
      <c r="E26" s="17">
        <f>SUM(E24:E25)</f>
        <v>89087</v>
      </c>
      <c r="F26" s="17">
        <f>SUM(F24:F25)</f>
        <v>93462</v>
      </c>
      <c r="G26" s="39">
        <f t="shared" ref="G26:N26" si="13">G24-G25</f>
        <v>102826.50400000002</v>
      </c>
      <c r="H26" s="39">
        <f t="shared" si="13"/>
        <v>113109.15440000001</v>
      </c>
      <c r="I26" s="39">
        <f t="shared" si="13"/>
        <v>124420.06984000003</v>
      </c>
      <c r="J26" s="39">
        <f t="shared" si="13"/>
        <v>136862.07682400005</v>
      </c>
      <c r="K26" s="39">
        <f t="shared" si="13"/>
        <v>150548.28450640006</v>
      </c>
      <c r="L26" s="39">
        <f t="shared" si="13"/>
        <v>165603.11295704008</v>
      </c>
      <c r="M26" s="39">
        <f t="shared" si="13"/>
        <v>182163.42425274407</v>
      </c>
      <c r="N26" s="39">
        <f t="shared" si="13"/>
        <v>200379.7666780185</v>
      </c>
    </row>
    <row r="27" spans="1:14" outlineLevel="1" x14ac:dyDescent="0.45">
      <c r="G27" s="38"/>
      <c r="H27" s="38"/>
      <c r="I27" s="38"/>
      <c r="J27" s="38"/>
      <c r="K27" s="38"/>
      <c r="L27" s="38"/>
      <c r="M27" s="38"/>
      <c r="N27" s="38"/>
    </row>
    <row r="28" spans="1:14" outlineLevel="1" x14ac:dyDescent="0.45">
      <c r="A28" t="s">
        <v>3</v>
      </c>
      <c r="B28" s="14">
        <v>-37390</v>
      </c>
      <c r="C28" s="14">
        <v>-32783</v>
      </c>
      <c r="D28" s="14">
        <v>-33959</v>
      </c>
      <c r="E28" s="14">
        <v>-34022</v>
      </c>
      <c r="F28" s="14">
        <v>-36657</v>
      </c>
      <c r="G28" s="38">
        <f t="shared" ref="G28:N28" si="14">-G10*G24</f>
        <v>-33169.840000000004</v>
      </c>
      <c r="H28" s="38">
        <f t="shared" si="14"/>
        <v>-36486.824000000008</v>
      </c>
      <c r="I28" s="38">
        <f t="shared" si="14"/>
        <v>-40135.506400000013</v>
      </c>
      <c r="J28" s="38">
        <f t="shared" si="14"/>
        <v>-44149.057040000014</v>
      </c>
      <c r="K28" s="38">
        <f t="shared" si="14"/>
        <v>-48563.962744000019</v>
      </c>
      <c r="L28" s="38">
        <f t="shared" si="14"/>
        <v>-53420.35901840002</v>
      </c>
      <c r="M28" s="38">
        <f t="shared" si="14"/>
        <v>-58762.394920240033</v>
      </c>
      <c r="N28" s="38">
        <f t="shared" si="14"/>
        <v>-64638.634412264037</v>
      </c>
    </row>
    <row r="29" spans="1:14" outlineLevel="1" x14ac:dyDescent="0.45">
      <c r="A29" t="s">
        <v>4</v>
      </c>
      <c r="B29" s="14">
        <v>-19500</v>
      </c>
      <c r="C29" s="14">
        <v>-18150</v>
      </c>
      <c r="D29" s="14">
        <v>-17205</v>
      </c>
      <c r="E29" s="14">
        <v>-16543.5</v>
      </c>
      <c r="F29" s="14">
        <v>-16080.45</v>
      </c>
      <c r="G29" s="38">
        <f t="shared" ref="G29:N29" si="15">-G11*G24</f>
        <v>-16584.920000000002</v>
      </c>
      <c r="H29" s="38">
        <f t="shared" si="15"/>
        <v>-18243.412000000004</v>
      </c>
      <c r="I29" s="38">
        <f t="shared" si="15"/>
        <v>-20067.753200000006</v>
      </c>
      <c r="J29" s="38">
        <f t="shared" si="15"/>
        <v>-22074.528520000007</v>
      </c>
      <c r="K29" s="38">
        <f t="shared" si="15"/>
        <v>-24281.981372000009</v>
      </c>
      <c r="L29" s="38">
        <f t="shared" si="15"/>
        <v>-26710.17950920001</v>
      </c>
      <c r="M29" s="38">
        <f t="shared" si="15"/>
        <v>-29381.197460120016</v>
      </c>
      <c r="N29" s="38">
        <f t="shared" si="15"/>
        <v>-32319.317206132018</v>
      </c>
    </row>
    <row r="30" spans="1:14" outlineLevel="1" x14ac:dyDescent="0.45">
      <c r="A30" s="15" t="s">
        <v>5</v>
      </c>
      <c r="B30" s="16">
        <v>-2500</v>
      </c>
      <c r="C30" s="16">
        <v>-2500</v>
      </c>
      <c r="D30" s="16">
        <v>-1500</v>
      </c>
      <c r="E30" s="16">
        <v>-900</v>
      </c>
      <c r="F30" s="14">
        <v>-900</v>
      </c>
      <c r="G30" s="38">
        <f t="shared" ref="G30:N30" si="16">-G12*G20</f>
        <v>-900</v>
      </c>
      <c r="H30" s="38">
        <f t="shared" si="16"/>
        <v>-900</v>
      </c>
      <c r="I30" s="38">
        <f t="shared" si="16"/>
        <v>-900</v>
      </c>
      <c r="J30" s="38">
        <f t="shared" si="16"/>
        <v>-900</v>
      </c>
      <c r="K30" s="38">
        <f t="shared" si="16"/>
        <v>-900</v>
      </c>
      <c r="L30" s="38">
        <f t="shared" si="16"/>
        <v>-900</v>
      </c>
      <c r="M30" s="38">
        <f t="shared" si="16"/>
        <v>-900</v>
      </c>
      <c r="N30" s="38">
        <f t="shared" si="16"/>
        <v>-900</v>
      </c>
    </row>
    <row r="31" spans="1:14" outlineLevel="1" x14ac:dyDescent="0.45">
      <c r="A31" t="s">
        <v>6</v>
      </c>
      <c r="B31" s="18">
        <f t="shared" ref="B31:G31" si="17">SUM(B26:B30)</f>
        <v>3594</v>
      </c>
      <c r="C31" s="18">
        <f t="shared" si="17"/>
        <v>16649</v>
      </c>
      <c r="D31" s="18">
        <f t="shared" si="17"/>
        <v>29558</v>
      </c>
      <c r="E31" s="18">
        <f t="shared" si="17"/>
        <v>37621.5</v>
      </c>
      <c r="F31" s="40">
        <f t="shared" si="17"/>
        <v>39824.550000000003</v>
      </c>
      <c r="G31" s="41">
        <f t="shared" si="17"/>
        <v>52171.744000000021</v>
      </c>
      <c r="H31" s="41">
        <f t="shared" ref="H31:N31" si="18">SUM(H26:H30)</f>
        <v>57478.918400000002</v>
      </c>
      <c r="I31" s="41">
        <f t="shared" si="18"/>
        <v>63316.810240000006</v>
      </c>
      <c r="J31" s="41">
        <f t="shared" si="18"/>
        <v>69738.491264000026</v>
      </c>
      <c r="K31" s="41">
        <f t="shared" si="18"/>
        <v>76802.34039040003</v>
      </c>
      <c r="L31" s="41">
        <f t="shared" si="18"/>
        <v>84572.57442944005</v>
      </c>
      <c r="M31" s="41">
        <f t="shared" si="18"/>
        <v>93119.831872384006</v>
      </c>
      <c r="N31" s="41">
        <f t="shared" si="18"/>
        <v>102521.81505962243</v>
      </c>
    </row>
    <row r="32" spans="1:14" outlineLevel="1" x14ac:dyDescent="0.45">
      <c r="A32" s="15" t="s">
        <v>7</v>
      </c>
      <c r="B32" s="16">
        <v>-1120.1708000000001</v>
      </c>
      <c r="C32" s="16">
        <v>-4858.2165021220299</v>
      </c>
      <c r="D32" s="16">
        <v>-8482.8061148686793</v>
      </c>
      <c r="E32" s="16">
        <v>-10908.020976404699</v>
      </c>
      <c r="F32" s="16">
        <v>-11597.6652414197</v>
      </c>
      <c r="G32" s="38">
        <f t="shared" ref="G32:N32" si="19">-G13*G31</f>
        <v>-15651.523200000005</v>
      </c>
      <c r="H32" s="38">
        <f t="shared" si="19"/>
        <v>-17243.675520000001</v>
      </c>
      <c r="I32" s="38">
        <f t="shared" si="19"/>
        <v>-18995.043072</v>
      </c>
      <c r="J32" s="38">
        <f t="shared" si="19"/>
        <v>-20921.547379200008</v>
      </c>
      <c r="K32" s="38">
        <f t="shared" si="19"/>
        <v>-23040.702117120007</v>
      </c>
      <c r="L32" s="38">
        <f t="shared" si="19"/>
        <v>-25371.772328832016</v>
      </c>
      <c r="M32" s="38">
        <f t="shared" si="19"/>
        <v>-27935.949561715202</v>
      </c>
      <c r="N32" s="38">
        <f t="shared" si="19"/>
        <v>-30756.544517886727</v>
      </c>
    </row>
    <row r="33" spans="1:14" outlineLevel="1" x14ac:dyDescent="0.45">
      <c r="A33" s="19" t="s">
        <v>39</v>
      </c>
      <c r="B33" s="20">
        <f>SUM(B31:B32)</f>
        <v>2473.8292000000001</v>
      </c>
      <c r="C33" s="20">
        <f>SUM(C31:C32)</f>
        <v>11790.78349787797</v>
      </c>
      <c r="D33" s="20">
        <f>SUM(D31:D32)</f>
        <v>21075.193885131321</v>
      </c>
      <c r="E33" s="20">
        <f>SUM(E31:E32)</f>
        <v>26713.479023595301</v>
      </c>
      <c r="F33" s="20">
        <f>SUM(F31:F32)</f>
        <v>28226.884758580301</v>
      </c>
      <c r="G33" s="20">
        <f t="shared" ref="G33:N33" si="20">SUM(G31:G32)</f>
        <v>36520.220800000017</v>
      </c>
      <c r="H33" s="20">
        <f t="shared" si="20"/>
        <v>40235.242880000005</v>
      </c>
      <c r="I33" s="20">
        <f t="shared" si="20"/>
        <v>44321.767168000006</v>
      </c>
      <c r="J33" s="20">
        <f t="shared" si="20"/>
        <v>48816.943884800014</v>
      </c>
      <c r="K33" s="20">
        <f t="shared" si="20"/>
        <v>53761.638273280027</v>
      </c>
      <c r="L33" s="20">
        <f t="shared" si="20"/>
        <v>59200.802100608038</v>
      </c>
      <c r="M33" s="20">
        <f t="shared" si="20"/>
        <v>65183.882310668807</v>
      </c>
      <c r="N33" s="20">
        <f t="shared" si="20"/>
        <v>71765.270541735707</v>
      </c>
    </row>
    <row r="34" spans="1:14" x14ac:dyDescent="0.45">
      <c r="A34" s="3"/>
      <c r="B34" s="17"/>
      <c r="C34" s="17"/>
      <c r="D34" s="17"/>
      <c r="E34" s="17"/>
      <c r="F34" s="17"/>
      <c r="G34" s="38"/>
      <c r="H34" s="38"/>
      <c r="I34" s="38"/>
      <c r="J34" s="38"/>
      <c r="K34" s="38"/>
      <c r="L34" s="38"/>
      <c r="M34" s="38"/>
      <c r="N34" s="38"/>
    </row>
    <row r="35" spans="1:14" x14ac:dyDescent="0.45">
      <c r="A35" s="3"/>
      <c r="B35" s="17"/>
      <c r="C35" s="17"/>
      <c r="D35" s="17"/>
      <c r="E35" s="17"/>
      <c r="F35" s="17"/>
      <c r="G35" s="38"/>
      <c r="H35" s="38"/>
      <c r="I35" s="38"/>
      <c r="J35" s="38"/>
      <c r="K35" s="38"/>
      <c r="L35" s="38"/>
      <c r="M35" s="38"/>
      <c r="N35" s="38"/>
    </row>
    <row r="36" spans="1:14" x14ac:dyDescent="0.45">
      <c r="A36" s="51" t="s">
        <v>51</v>
      </c>
      <c r="B36" s="52"/>
      <c r="C36" s="52"/>
      <c r="D36" s="52"/>
      <c r="E36" s="52"/>
      <c r="F36" s="52"/>
      <c r="G36" s="53"/>
      <c r="H36" s="53"/>
      <c r="I36" s="53"/>
      <c r="J36" s="53"/>
      <c r="K36" s="53"/>
      <c r="L36" s="53"/>
      <c r="M36" s="53"/>
      <c r="N36" s="53"/>
    </row>
    <row r="37" spans="1:14" outlineLevel="1" x14ac:dyDescent="0.45">
      <c r="A37" s="9" t="s">
        <v>8</v>
      </c>
      <c r="G37" s="38"/>
      <c r="H37" s="38"/>
      <c r="I37" s="38"/>
      <c r="J37" s="38"/>
      <c r="K37" s="38"/>
      <c r="L37" s="38"/>
      <c r="M37" s="38"/>
      <c r="N37" s="38"/>
    </row>
    <row r="38" spans="1:14" outlineLevel="1" x14ac:dyDescent="0.45">
      <c r="A38" s="4" t="s">
        <v>24</v>
      </c>
      <c r="G38" s="38"/>
      <c r="H38" s="38"/>
      <c r="I38" s="38"/>
      <c r="J38" s="38"/>
      <c r="K38" s="38"/>
      <c r="L38" s="38"/>
      <c r="M38" s="38"/>
      <c r="N38" s="38"/>
    </row>
    <row r="39" spans="1:14" outlineLevel="1" x14ac:dyDescent="0.45">
      <c r="A39" s="5" t="s">
        <v>13</v>
      </c>
      <c r="B39" s="6">
        <v>45500</v>
      </c>
      <c r="C39" s="6">
        <v>42350</v>
      </c>
      <c r="D39" s="6">
        <v>40145</v>
      </c>
      <c r="E39" s="6">
        <v>38601.5</v>
      </c>
      <c r="F39" s="6">
        <v>37521.050000000003</v>
      </c>
      <c r="G39" s="38">
        <f>G88</f>
        <v>41462.300000000003</v>
      </c>
      <c r="H39" s="38">
        <f t="shared" ref="H39:N39" si="21">H88</f>
        <v>45608.530000000006</v>
      </c>
      <c r="I39" s="38">
        <f t="shared" si="21"/>
        <v>50169.383000000009</v>
      </c>
      <c r="J39" s="38">
        <f t="shared" si="21"/>
        <v>55186.321300000018</v>
      </c>
      <c r="K39" s="38">
        <f t="shared" si="21"/>
        <v>60704.953430000023</v>
      </c>
      <c r="L39" s="38">
        <f t="shared" si="21"/>
        <v>66775.448773000026</v>
      </c>
      <c r="M39" s="38">
        <f t="shared" si="21"/>
        <v>73452.993650300035</v>
      </c>
      <c r="N39" s="38">
        <f t="shared" si="21"/>
        <v>80798.29301533004</v>
      </c>
    </row>
    <row r="40" spans="1:14" outlineLevel="1" x14ac:dyDescent="0.45">
      <c r="A40" s="4" t="s">
        <v>46</v>
      </c>
      <c r="G40" s="38"/>
      <c r="H40" s="38"/>
      <c r="I40" s="38"/>
      <c r="J40" s="38"/>
      <c r="K40" s="38"/>
      <c r="L40" s="38"/>
      <c r="M40" s="38"/>
      <c r="N40" s="38"/>
    </row>
    <row r="41" spans="1:14" outlineLevel="1" x14ac:dyDescent="0.45">
      <c r="A41" s="5" t="s">
        <v>9</v>
      </c>
      <c r="B41" s="6">
        <v>167971.17920000001</v>
      </c>
      <c r="C41" s="6">
        <v>181209.91269787797</v>
      </c>
      <c r="D41" s="6">
        <v>183715.25658300929</v>
      </c>
      <c r="E41" s="6">
        <v>211069.33560660461</v>
      </c>
      <c r="F41" s="6">
        <v>239549.5203651849</v>
      </c>
      <c r="G41" s="38">
        <f>G80</f>
        <v>270943.28936792468</v>
      </c>
      <c r="H41" s="38">
        <f t="shared" ref="H41:N41" si="22">H80</f>
        <v>305592.82206819864</v>
      </c>
      <c r="I41" s="38">
        <f t="shared" si="22"/>
        <v>343770.30803850002</v>
      </c>
      <c r="J41" s="38">
        <f t="shared" si="22"/>
        <v>385828.54260583152</v>
      </c>
      <c r="K41" s="38">
        <f t="shared" si="22"/>
        <v>432155.60062989622</v>
      </c>
      <c r="L41" s="38">
        <f t="shared" si="22"/>
        <v>483178.36445636739</v>
      </c>
      <c r="M41" s="38">
        <f t="shared" si="22"/>
        <v>539366.40466548561</v>
      </c>
      <c r="N41" s="38">
        <f t="shared" si="22"/>
        <v>601236.24889551569</v>
      </c>
    </row>
    <row r="42" spans="1:14" outlineLevel="1" x14ac:dyDescent="0.45">
      <c r="A42" s="5" t="s">
        <v>10</v>
      </c>
      <c r="B42" s="6">
        <v>5100.3500000000004</v>
      </c>
      <c r="C42" s="6">
        <v>5904.3</v>
      </c>
      <c r="D42" s="6">
        <v>6567.25</v>
      </c>
      <c r="E42" s="6">
        <v>7117.05</v>
      </c>
      <c r="F42" s="6">
        <v>7538.6</v>
      </c>
      <c r="G42" s="38">
        <f>G17/G3*G24</f>
        <v>8178.8646575342473</v>
      </c>
      <c r="H42" s="38">
        <f t="shared" ref="H42:N42" si="23">H17/H3*H24</f>
        <v>8996.7511232876714</v>
      </c>
      <c r="I42" s="38">
        <f t="shared" si="23"/>
        <v>9896.42623561644</v>
      </c>
      <c r="J42" s="38">
        <f t="shared" si="23"/>
        <v>10886.068859178085</v>
      </c>
      <c r="K42" s="38">
        <f t="shared" si="23"/>
        <v>11974.675745095894</v>
      </c>
      <c r="L42" s="38">
        <f t="shared" si="23"/>
        <v>13172.143319605484</v>
      </c>
      <c r="M42" s="38">
        <f t="shared" si="23"/>
        <v>14489.357651566033</v>
      </c>
      <c r="N42" s="38">
        <f t="shared" si="23"/>
        <v>15938.293416722638</v>
      </c>
    </row>
    <row r="43" spans="1:14" outlineLevel="1" x14ac:dyDescent="0.45">
      <c r="A43" s="7" t="s">
        <v>11</v>
      </c>
      <c r="B43" s="8">
        <v>7804.6</v>
      </c>
      <c r="C43" s="8">
        <v>9600.8000000000011</v>
      </c>
      <c r="D43" s="8">
        <v>9824.6</v>
      </c>
      <c r="E43" s="8">
        <v>10530.800000000001</v>
      </c>
      <c r="F43" s="8">
        <v>11342</v>
      </c>
      <c r="G43" s="38">
        <f>G18/G3*G25</f>
        <v>12431.874279452055</v>
      </c>
      <c r="H43" s="38">
        <f t="shared" ref="H43:N43" si="24">H18/H3*H25</f>
        <v>13675.061707397263</v>
      </c>
      <c r="I43" s="38">
        <f t="shared" si="24"/>
        <v>15042.567878136988</v>
      </c>
      <c r="J43" s="38">
        <f t="shared" si="24"/>
        <v>16546.824665950688</v>
      </c>
      <c r="K43" s="38">
        <f t="shared" si="24"/>
        <v>18201.507132545761</v>
      </c>
      <c r="L43" s="38">
        <f t="shared" si="24"/>
        <v>20021.657845800335</v>
      </c>
      <c r="M43" s="38">
        <f t="shared" si="24"/>
        <v>22023.823630380371</v>
      </c>
      <c r="N43" s="38">
        <f t="shared" si="24"/>
        <v>24226.205993418411</v>
      </c>
    </row>
    <row r="44" spans="1:14" outlineLevel="1" x14ac:dyDescent="0.45">
      <c r="A44" s="5" t="s">
        <v>12</v>
      </c>
      <c r="B44" s="11">
        <f t="shared" ref="B44:G44" si="25">SUM(B41:B43)</f>
        <v>180876.12920000002</v>
      </c>
      <c r="C44" s="11">
        <f t="shared" si="25"/>
        <v>196715.01269787794</v>
      </c>
      <c r="D44" s="11">
        <f t="shared" si="25"/>
        <v>200107.1065830093</v>
      </c>
      <c r="E44" s="11">
        <f t="shared" si="25"/>
        <v>228717.18560660459</v>
      </c>
      <c r="F44" s="11">
        <f t="shared" si="25"/>
        <v>258430.12036518491</v>
      </c>
      <c r="G44" s="46">
        <f t="shared" si="25"/>
        <v>291554.02830491099</v>
      </c>
      <c r="H44" s="46">
        <f t="shared" ref="H44:N44" si="26">SUM(H41:H43)</f>
        <v>328264.63489888358</v>
      </c>
      <c r="I44" s="46">
        <f t="shared" si="26"/>
        <v>368709.30215225345</v>
      </c>
      <c r="J44" s="46">
        <f t="shared" si="26"/>
        <v>413261.4361309603</v>
      </c>
      <c r="K44" s="46">
        <f t="shared" si="26"/>
        <v>462331.78350753785</v>
      </c>
      <c r="L44" s="46">
        <f t="shared" si="26"/>
        <v>516372.16562177322</v>
      </c>
      <c r="M44" s="46">
        <f t="shared" si="26"/>
        <v>575879.58594743197</v>
      </c>
      <c r="N44" s="46">
        <f t="shared" si="26"/>
        <v>641400.74830565683</v>
      </c>
    </row>
    <row r="45" spans="1:14" outlineLevel="1" x14ac:dyDescent="0.45">
      <c r="A45" s="12" t="s">
        <v>14</v>
      </c>
      <c r="B45" s="13">
        <f t="shared" ref="B45:G45" si="27">+B44+B39</f>
        <v>226376.12920000002</v>
      </c>
      <c r="C45" s="13">
        <f t="shared" si="27"/>
        <v>239065.01269787794</v>
      </c>
      <c r="D45" s="13">
        <f t="shared" si="27"/>
        <v>240252.1065830093</v>
      </c>
      <c r="E45" s="13">
        <f t="shared" si="27"/>
        <v>267318.68560660456</v>
      </c>
      <c r="F45" s="13">
        <f t="shared" si="27"/>
        <v>295951.17036518489</v>
      </c>
      <c r="G45" s="13">
        <f t="shared" si="27"/>
        <v>333016.32830491097</v>
      </c>
      <c r="H45" s="13">
        <f t="shared" ref="H45:N45" si="28">+H44+H39</f>
        <v>373873.16489888361</v>
      </c>
      <c r="I45" s="13">
        <f t="shared" si="28"/>
        <v>418878.68515225349</v>
      </c>
      <c r="J45" s="13">
        <f t="shared" si="28"/>
        <v>468447.75743096031</v>
      </c>
      <c r="K45" s="13">
        <f t="shared" si="28"/>
        <v>523036.73693753791</v>
      </c>
      <c r="L45" s="13">
        <f t="shared" si="28"/>
        <v>583147.61439477326</v>
      </c>
      <c r="M45" s="13">
        <f t="shared" si="28"/>
        <v>649332.57959773205</v>
      </c>
      <c r="N45" s="13">
        <f t="shared" si="28"/>
        <v>722199.04132098681</v>
      </c>
    </row>
    <row r="46" spans="1:14" outlineLevel="1" x14ac:dyDescent="0.45">
      <c r="G46" s="38"/>
      <c r="H46" s="38"/>
      <c r="I46" s="38"/>
      <c r="J46" s="38"/>
      <c r="K46" s="38"/>
      <c r="L46" s="38"/>
      <c r="M46" s="38"/>
      <c r="N46" s="38"/>
    </row>
    <row r="47" spans="1:14" outlineLevel="1" x14ac:dyDescent="0.45">
      <c r="A47" s="22" t="s">
        <v>19</v>
      </c>
      <c r="B47" s="11"/>
      <c r="C47" s="11"/>
      <c r="D47" s="11"/>
      <c r="E47" s="11"/>
      <c r="F47" s="11"/>
      <c r="G47" s="38"/>
      <c r="H47" s="38"/>
      <c r="I47" s="38"/>
      <c r="J47" s="38"/>
      <c r="K47" s="38"/>
      <c r="L47" s="38"/>
      <c r="M47" s="38"/>
      <c r="N47" s="38"/>
    </row>
    <row r="48" spans="1:14" outlineLevel="1" x14ac:dyDescent="0.45">
      <c r="A48" s="5" t="s">
        <v>20</v>
      </c>
      <c r="B48" s="6">
        <v>170000</v>
      </c>
      <c r="C48" s="6">
        <v>170000</v>
      </c>
      <c r="D48" s="6">
        <v>170000</v>
      </c>
      <c r="E48" s="6">
        <v>170000</v>
      </c>
      <c r="F48" s="6">
        <v>170000</v>
      </c>
      <c r="G48" s="6">
        <v>170000</v>
      </c>
      <c r="H48" s="6">
        <v>170000</v>
      </c>
      <c r="I48" s="6">
        <v>170000</v>
      </c>
      <c r="J48" s="6">
        <v>170000</v>
      </c>
      <c r="K48" s="6">
        <v>170000</v>
      </c>
      <c r="L48" s="6">
        <v>170000</v>
      </c>
      <c r="M48" s="6">
        <v>170000</v>
      </c>
      <c r="N48" s="6">
        <v>170000</v>
      </c>
    </row>
    <row r="49" spans="1:14" outlineLevel="1" x14ac:dyDescent="0.45">
      <c r="A49" s="7" t="s">
        <v>21</v>
      </c>
      <c r="B49" s="8">
        <v>2473.8292000000001</v>
      </c>
      <c r="C49" s="8">
        <v>14264.612697877968</v>
      </c>
      <c r="D49" s="8">
        <v>35339.806583009296</v>
      </c>
      <c r="E49" s="8">
        <v>62053.285606604608</v>
      </c>
      <c r="F49" s="8">
        <v>90280.170365184895</v>
      </c>
      <c r="G49" s="38">
        <f>G94</f>
        <v>126800.3911651849</v>
      </c>
      <c r="H49" s="38">
        <f t="shared" ref="H49:N49" si="29">H94</f>
        <v>167035.63404518491</v>
      </c>
      <c r="I49" s="38">
        <f t="shared" si="29"/>
        <v>211357.40121318493</v>
      </c>
      <c r="J49" s="38">
        <f t="shared" si="29"/>
        <v>260174.34509798494</v>
      </c>
      <c r="K49" s="38">
        <f t="shared" si="29"/>
        <v>313935.983371265</v>
      </c>
      <c r="L49" s="38">
        <f t="shared" si="29"/>
        <v>373136.78547187301</v>
      </c>
      <c r="M49" s="38">
        <f t="shared" si="29"/>
        <v>438320.66778254183</v>
      </c>
      <c r="N49" s="38">
        <f t="shared" si="29"/>
        <v>510085.93832427752</v>
      </c>
    </row>
    <row r="50" spans="1:14" outlineLevel="1" x14ac:dyDescent="0.45">
      <c r="A50" s="23" t="s">
        <v>22</v>
      </c>
      <c r="B50" s="24">
        <f>SUM(B48:B49)</f>
        <v>172473.82920000001</v>
      </c>
      <c r="C50" s="24">
        <f>SUM(C48:C49)</f>
        <v>184264.61269787798</v>
      </c>
      <c r="D50" s="24">
        <f>SUM(D48:D49)</f>
        <v>205339.80658300931</v>
      </c>
      <c r="E50" s="24">
        <f>SUM(E48:E49)</f>
        <v>232053.28560660459</v>
      </c>
      <c r="F50" s="24">
        <f>SUM(F48:F49)</f>
        <v>260280.17036518489</v>
      </c>
      <c r="G50" s="24">
        <f t="shared" ref="G50:N50" si="30">SUM(G48:G49)</f>
        <v>296800.3911651849</v>
      </c>
      <c r="H50" s="24">
        <f t="shared" si="30"/>
        <v>337035.63404518494</v>
      </c>
      <c r="I50" s="24">
        <f t="shared" si="30"/>
        <v>381357.40121318493</v>
      </c>
      <c r="J50" s="24">
        <f t="shared" si="30"/>
        <v>430174.34509798494</v>
      </c>
      <c r="K50" s="24">
        <f t="shared" si="30"/>
        <v>483935.983371265</v>
      </c>
      <c r="L50" s="24">
        <f t="shared" si="30"/>
        <v>543136.78547187301</v>
      </c>
      <c r="M50" s="24">
        <f t="shared" si="30"/>
        <v>608320.66778254183</v>
      </c>
      <c r="N50" s="24">
        <f t="shared" si="30"/>
        <v>680085.93832427752</v>
      </c>
    </row>
    <row r="51" spans="1:14" outlineLevel="1" x14ac:dyDescent="0.45">
      <c r="A51" s="22" t="s">
        <v>26</v>
      </c>
      <c r="B51" s="10"/>
      <c r="C51" s="10"/>
      <c r="D51" s="10"/>
      <c r="E51" s="10"/>
      <c r="F51" s="10"/>
      <c r="G51" s="38"/>
      <c r="H51" s="38"/>
      <c r="I51" s="38"/>
      <c r="J51" s="38"/>
      <c r="K51" s="38"/>
      <c r="L51" s="38"/>
      <c r="M51" s="38"/>
      <c r="N51" s="38"/>
    </row>
    <row r="52" spans="1:14" outlineLevel="1" x14ac:dyDescent="0.45">
      <c r="A52" s="7" t="s">
        <v>17</v>
      </c>
      <c r="B52" s="8">
        <v>50000</v>
      </c>
      <c r="C52" s="8">
        <v>50000</v>
      </c>
      <c r="D52" s="8">
        <v>30000</v>
      </c>
      <c r="E52" s="8">
        <v>30000</v>
      </c>
      <c r="F52" s="8">
        <v>30000</v>
      </c>
      <c r="G52" s="48">
        <f>G20</f>
        <v>30000</v>
      </c>
      <c r="H52" s="48">
        <f t="shared" ref="H52:N52" si="31">H20</f>
        <v>30000</v>
      </c>
      <c r="I52" s="48">
        <f t="shared" si="31"/>
        <v>30000</v>
      </c>
      <c r="J52" s="48">
        <f t="shared" si="31"/>
        <v>30000</v>
      </c>
      <c r="K52" s="48">
        <f t="shared" si="31"/>
        <v>30000</v>
      </c>
      <c r="L52" s="48">
        <f t="shared" si="31"/>
        <v>30000</v>
      </c>
      <c r="M52" s="48">
        <f t="shared" si="31"/>
        <v>30000</v>
      </c>
      <c r="N52" s="48">
        <f t="shared" si="31"/>
        <v>30000</v>
      </c>
    </row>
    <row r="53" spans="1:14" outlineLevel="1" x14ac:dyDescent="0.45">
      <c r="A53" t="s">
        <v>27</v>
      </c>
      <c r="B53" s="18">
        <f>SUM(B52)</f>
        <v>50000</v>
      </c>
      <c r="C53" s="18">
        <f>SUM(C52)</f>
        <v>50000</v>
      </c>
      <c r="D53" s="18">
        <f>SUM(D52)</f>
        <v>30000</v>
      </c>
      <c r="E53" s="18">
        <f>SUM(E52)</f>
        <v>30000</v>
      </c>
      <c r="F53" s="18">
        <f>SUM(F52)</f>
        <v>30000</v>
      </c>
      <c r="G53" s="18">
        <f t="shared" ref="G53:N53" si="32">SUM(G52)</f>
        <v>30000</v>
      </c>
      <c r="H53" s="18">
        <f t="shared" si="32"/>
        <v>30000</v>
      </c>
      <c r="I53" s="18">
        <f t="shared" si="32"/>
        <v>30000</v>
      </c>
      <c r="J53" s="18">
        <f t="shared" si="32"/>
        <v>30000</v>
      </c>
      <c r="K53" s="18">
        <f t="shared" si="32"/>
        <v>30000</v>
      </c>
      <c r="L53" s="18">
        <f t="shared" si="32"/>
        <v>30000</v>
      </c>
      <c r="M53" s="18">
        <f t="shared" si="32"/>
        <v>30000</v>
      </c>
      <c r="N53" s="18">
        <f t="shared" si="32"/>
        <v>30000</v>
      </c>
    </row>
    <row r="54" spans="1:14" outlineLevel="1" x14ac:dyDescent="0.45">
      <c r="A54" s="22" t="s">
        <v>25</v>
      </c>
      <c r="B54" s="11"/>
      <c r="C54" s="11"/>
      <c r="D54" s="11"/>
      <c r="E54" s="11"/>
      <c r="F54" s="11"/>
      <c r="G54" s="38"/>
      <c r="H54" s="38"/>
      <c r="I54" s="38"/>
      <c r="J54" s="38"/>
      <c r="K54" s="38"/>
      <c r="L54" s="38"/>
      <c r="M54" s="38"/>
      <c r="N54" s="38"/>
    </row>
    <row r="55" spans="1:14" outlineLevel="1" x14ac:dyDescent="0.45">
      <c r="A55" s="7" t="s">
        <v>15</v>
      </c>
      <c r="B55" s="8">
        <v>3902.3</v>
      </c>
      <c r="C55" s="8">
        <v>4800.4000000000005</v>
      </c>
      <c r="D55" s="8">
        <v>4912.3</v>
      </c>
      <c r="E55" s="8">
        <v>5265.4000000000005</v>
      </c>
      <c r="F55" s="8">
        <v>5671</v>
      </c>
      <c r="G55" s="38">
        <f>(G19/G3)*G25</f>
        <v>6215.9371397260275</v>
      </c>
      <c r="H55" s="38">
        <f t="shared" ref="H55:N55" si="33">(H19/H3)*H25</f>
        <v>6837.5308536986313</v>
      </c>
      <c r="I55" s="38">
        <f t="shared" si="33"/>
        <v>7521.283939068494</v>
      </c>
      <c r="J55" s="38">
        <f t="shared" si="33"/>
        <v>8273.4123329753438</v>
      </c>
      <c r="K55" s="38">
        <f t="shared" si="33"/>
        <v>9100.7535662728806</v>
      </c>
      <c r="L55" s="38">
        <f t="shared" si="33"/>
        <v>10010.828922900168</v>
      </c>
      <c r="M55" s="38">
        <f t="shared" si="33"/>
        <v>11011.911815190186</v>
      </c>
      <c r="N55" s="38">
        <f t="shared" si="33"/>
        <v>12113.102996709205</v>
      </c>
    </row>
    <row r="56" spans="1:14" outlineLevel="1" x14ac:dyDescent="0.45">
      <c r="A56" s="5" t="s">
        <v>16</v>
      </c>
      <c r="B56" s="11">
        <f t="shared" ref="B56:G56" si="34">+B55</f>
        <v>3902.3</v>
      </c>
      <c r="C56" s="11">
        <f t="shared" si="34"/>
        <v>4800.4000000000005</v>
      </c>
      <c r="D56" s="11">
        <f t="shared" si="34"/>
        <v>4912.3</v>
      </c>
      <c r="E56" s="11">
        <f t="shared" si="34"/>
        <v>5265.4000000000005</v>
      </c>
      <c r="F56" s="11">
        <f t="shared" si="34"/>
        <v>5671</v>
      </c>
      <c r="G56" s="47">
        <f t="shared" si="34"/>
        <v>6215.9371397260275</v>
      </c>
      <c r="H56" s="47">
        <f t="shared" ref="H56:N56" si="35">+H55</f>
        <v>6837.5308536986313</v>
      </c>
      <c r="I56" s="47">
        <f t="shared" si="35"/>
        <v>7521.283939068494</v>
      </c>
      <c r="J56" s="47">
        <f t="shared" si="35"/>
        <v>8273.4123329753438</v>
      </c>
      <c r="K56" s="47">
        <f t="shared" si="35"/>
        <v>9100.7535662728806</v>
      </c>
      <c r="L56" s="47">
        <f t="shared" si="35"/>
        <v>10010.828922900168</v>
      </c>
      <c r="M56" s="47">
        <f t="shared" si="35"/>
        <v>11011.911815190186</v>
      </c>
      <c r="N56" s="47">
        <f t="shared" si="35"/>
        <v>12113.102996709205</v>
      </c>
    </row>
    <row r="57" spans="1:14" outlineLevel="1" x14ac:dyDescent="0.45">
      <c r="A57" s="9" t="s">
        <v>18</v>
      </c>
      <c r="B57" s="10">
        <f t="shared" ref="B57:G57" si="36">B53+B56</f>
        <v>53902.3</v>
      </c>
      <c r="C57" s="10">
        <f t="shared" si="36"/>
        <v>54800.4</v>
      </c>
      <c r="D57" s="10">
        <f t="shared" si="36"/>
        <v>34912.300000000003</v>
      </c>
      <c r="E57" s="10">
        <f t="shared" si="36"/>
        <v>35265.4</v>
      </c>
      <c r="F57" s="10">
        <f t="shared" si="36"/>
        <v>35671</v>
      </c>
      <c r="G57" s="10">
        <f t="shared" si="36"/>
        <v>36215.937139726026</v>
      </c>
      <c r="H57" s="10">
        <f t="shared" ref="H57:N57" si="37">H53+H56</f>
        <v>36837.530853698634</v>
      </c>
      <c r="I57" s="10">
        <f t="shared" si="37"/>
        <v>37521.283939068497</v>
      </c>
      <c r="J57" s="10">
        <f t="shared" si="37"/>
        <v>38273.412332975342</v>
      </c>
      <c r="K57" s="10">
        <f t="shared" si="37"/>
        <v>39100.753566272877</v>
      </c>
      <c r="L57" s="10">
        <f t="shared" si="37"/>
        <v>40010.828922900168</v>
      </c>
      <c r="M57" s="10">
        <f t="shared" si="37"/>
        <v>41011.911815190186</v>
      </c>
      <c r="N57" s="10">
        <f t="shared" si="37"/>
        <v>42113.102996709204</v>
      </c>
    </row>
    <row r="58" spans="1:14" outlineLevel="1" x14ac:dyDescent="0.45">
      <c r="A58" s="12" t="s">
        <v>23</v>
      </c>
      <c r="B58" s="13">
        <f t="shared" ref="B58:G58" si="38">+B50+B57</f>
        <v>226376.12920000002</v>
      </c>
      <c r="C58" s="13">
        <f t="shared" si="38"/>
        <v>239065.01269787797</v>
      </c>
      <c r="D58" s="13">
        <f t="shared" si="38"/>
        <v>240252.1065830093</v>
      </c>
      <c r="E58" s="13">
        <f t="shared" si="38"/>
        <v>267318.68560660462</v>
      </c>
      <c r="F58" s="13">
        <f t="shared" si="38"/>
        <v>295951.17036518489</v>
      </c>
      <c r="G58" s="13">
        <f t="shared" si="38"/>
        <v>333016.32830491092</v>
      </c>
      <c r="H58" s="13">
        <f t="shared" ref="H58:N58" si="39">+H50+H57</f>
        <v>373873.16489888355</v>
      </c>
      <c r="I58" s="13">
        <f t="shared" si="39"/>
        <v>418878.68515225343</v>
      </c>
      <c r="J58" s="13">
        <f t="shared" si="39"/>
        <v>468447.75743096031</v>
      </c>
      <c r="K58" s="13">
        <f t="shared" si="39"/>
        <v>523036.73693753791</v>
      </c>
      <c r="L58" s="13">
        <f t="shared" si="39"/>
        <v>583147.61439477315</v>
      </c>
      <c r="M58" s="13">
        <f t="shared" si="39"/>
        <v>649332.57959773205</v>
      </c>
      <c r="N58" s="13">
        <f t="shared" si="39"/>
        <v>722199.0413209867</v>
      </c>
    </row>
    <row r="59" spans="1:14" x14ac:dyDescent="0.45">
      <c r="A59" s="9"/>
      <c r="G59" s="38"/>
      <c r="H59" s="38"/>
      <c r="I59" s="38"/>
      <c r="J59" s="38"/>
      <c r="K59" s="38"/>
      <c r="L59" s="38"/>
      <c r="M59" s="38"/>
      <c r="N59" s="38"/>
    </row>
    <row r="60" spans="1:14" x14ac:dyDescent="0.45">
      <c r="G60" s="38"/>
      <c r="H60" s="38"/>
      <c r="I60" s="38"/>
      <c r="J60" s="38"/>
      <c r="K60" s="38"/>
      <c r="L60" s="38"/>
      <c r="M60" s="38"/>
      <c r="N60" s="38"/>
    </row>
    <row r="61" spans="1:14" x14ac:dyDescent="0.45">
      <c r="A61" s="51" t="s">
        <v>52</v>
      </c>
      <c r="B61" s="52"/>
      <c r="C61" s="52"/>
      <c r="D61" s="52"/>
      <c r="E61" s="52"/>
      <c r="F61" s="52"/>
      <c r="G61" s="53"/>
      <c r="H61" s="53"/>
      <c r="I61" s="53"/>
      <c r="J61" s="53"/>
      <c r="K61" s="53"/>
      <c r="L61" s="53"/>
      <c r="M61" s="53"/>
      <c r="N61" s="53"/>
    </row>
    <row r="62" spans="1:14" outlineLevel="1" x14ac:dyDescent="0.45">
      <c r="A62" s="9" t="s">
        <v>29</v>
      </c>
      <c r="B62" s="5"/>
      <c r="C62" s="5"/>
      <c r="D62" s="5"/>
      <c r="E62" s="5"/>
      <c r="F62" s="5"/>
      <c r="G62" s="38"/>
      <c r="H62" s="38"/>
      <c r="I62" s="38"/>
      <c r="J62" s="38"/>
      <c r="K62" s="38"/>
      <c r="L62" s="38"/>
      <c r="M62" s="38"/>
      <c r="N62" s="38"/>
    </row>
    <row r="63" spans="1:14" outlineLevel="1" x14ac:dyDescent="0.45">
      <c r="A63" s="5" t="s">
        <v>39</v>
      </c>
      <c r="B63" s="6">
        <v>2473.8292000000001</v>
      </c>
      <c r="C63" s="6">
        <v>11790.78349787797</v>
      </c>
      <c r="D63" s="6">
        <v>21075.193885131321</v>
      </c>
      <c r="E63" s="6">
        <v>26713.479023595301</v>
      </c>
      <c r="F63" s="6">
        <v>28226.884758580301</v>
      </c>
      <c r="G63" s="38">
        <f>G92</f>
        <v>36520.220800000017</v>
      </c>
      <c r="H63" s="38">
        <f t="shared" ref="H63:N63" si="40">H92</f>
        <v>40235.242880000005</v>
      </c>
      <c r="I63" s="38">
        <f t="shared" si="40"/>
        <v>44321.767168000006</v>
      </c>
      <c r="J63" s="38">
        <f t="shared" si="40"/>
        <v>48816.943884800014</v>
      </c>
      <c r="K63" s="38">
        <f t="shared" si="40"/>
        <v>53761.638273280027</v>
      </c>
      <c r="L63" s="38">
        <f t="shared" si="40"/>
        <v>59200.802100608038</v>
      </c>
      <c r="M63" s="38">
        <f t="shared" si="40"/>
        <v>65183.882310668807</v>
      </c>
      <c r="N63" s="38">
        <f t="shared" si="40"/>
        <v>71765.270541735707</v>
      </c>
    </row>
    <row r="64" spans="1:14" outlineLevel="1" x14ac:dyDescent="0.45">
      <c r="A64" s="5" t="s">
        <v>30</v>
      </c>
      <c r="B64" s="11"/>
      <c r="C64" s="11"/>
      <c r="D64" s="11"/>
      <c r="E64" s="11"/>
      <c r="F64" s="11"/>
      <c r="G64" s="38"/>
      <c r="H64" s="38"/>
      <c r="I64" s="38"/>
      <c r="J64" s="38"/>
      <c r="K64" s="38"/>
      <c r="L64" s="38"/>
      <c r="M64" s="38"/>
      <c r="N64" s="38"/>
    </row>
    <row r="65" spans="1:14" outlineLevel="1" x14ac:dyDescent="0.45">
      <c r="A65" s="25" t="s">
        <v>4</v>
      </c>
      <c r="B65" s="6">
        <v>19500</v>
      </c>
      <c r="C65" s="6">
        <v>18150</v>
      </c>
      <c r="D65" s="6">
        <v>17205</v>
      </c>
      <c r="E65" s="6">
        <v>16543.5</v>
      </c>
      <c r="F65" s="6">
        <v>16080.45</v>
      </c>
      <c r="G65" s="38">
        <f>G87</f>
        <v>16584.920000000002</v>
      </c>
      <c r="H65" s="38">
        <f t="shared" ref="H65:N65" si="41">H87</f>
        <v>18243.412000000004</v>
      </c>
      <c r="I65" s="38">
        <f t="shared" si="41"/>
        <v>20067.753200000006</v>
      </c>
      <c r="J65" s="38">
        <f t="shared" si="41"/>
        <v>22074.528520000007</v>
      </c>
      <c r="K65" s="38">
        <f t="shared" si="41"/>
        <v>24281.981372000009</v>
      </c>
      <c r="L65" s="38">
        <f t="shared" si="41"/>
        <v>26710.17950920001</v>
      </c>
      <c r="M65" s="38">
        <f t="shared" si="41"/>
        <v>29381.197460120016</v>
      </c>
      <c r="N65" s="38">
        <f t="shared" si="41"/>
        <v>32319.317206132018</v>
      </c>
    </row>
    <row r="66" spans="1:14" outlineLevel="1" x14ac:dyDescent="0.45">
      <c r="A66" s="26" t="s">
        <v>31</v>
      </c>
      <c r="B66" s="8">
        <v>-9002.65</v>
      </c>
      <c r="C66" s="8">
        <v>-1702.05</v>
      </c>
      <c r="D66" s="8">
        <v>-774.849999999999</v>
      </c>
      <c r="E66" s="8">
        <v>-902.900000000001</v>
      </c>
      <c r="F66" s="6">
        <v>-827.14999999999804</v>
      </c>
      <c r="G66" s="38">
        <f>G100</f>
        <v>-1185.2017972602744</v>
      </c>
      <c r="H66" s="38">
        <f t="shared" ref="H66:N66" si="42">H100</f>
        <v>-1439.4801797260279</v>
      </c>
      <c r="I66" s="38">
        <f t="shared" si="42"/>
        <v>-1583.4281976986313</v>
      </c>
      <c r="J66" s="38">
        <f t="shared" si="42"/>
        <v>-1741.7710174684953</v>
      </c>
      <c r="K66" s="38">
        <f t="shared" si="42"/>
        <v>-1915.9481192153453</v>
      </c>
      <c r="L66" s="38">
        <f t="shared" si="42"/>
        <v>-2107.5429311368771</v>
      </c>
      <c r="M66" s="38">
        <f t="shared" si="42"/>
        <v>-2318.2972242505675</v>
      </c>
      <c r="N66" s="38">
        <f t="shared" si="42"/>
        <v>-2550.1269466756239</v>
      </c>
    </row>
    <row r="67" spans="1:14" outlineLevel="1" x14ac:dyDescent="0.45">
      <c r="A67" s="9" t="s">
        <v>32</v>
      </c>
      <c r="B67" s="10">
        <f>SUM(B63:B66)</f>
        <v>12971.1792</v>
      </c>
      <c r="C67" s="10">
        <f>SUM(C63:C66)</f>
        <v>28238.733497877973</v>
      </c>
      <c r="D67" s="10">
        <f>SUM(D63:D66)</f>
        <v>37505.343885131319</v>
      </c>
      <c r="E67" s="10">
        <f>SUM(E63:E66)</f>
        <v>42354.079023595295</v>
      </c>
      <c r="F67" s="24">
        <f>SUM(F63:F66)</f>
        <v>43480.184758580297</v>
      </c>
      <c r="G67" s="24">
        <f t="shared" ref="G67:N67" si="43">SUM(G63:G66)</f>
        <v>51919.939002739746</v>
      </c>
      <c r="H67" s="24">
        <f t="shared" si="43"/>
        <v>57039.174700273979</v>
      </c>
      <c r="I67" s="24">
        <f t="shared" si="43"/>
        <v>62806.092170301381</v>
      </c>
      <c r="J67" s="24">
        <f t="shared" si="43"/>
        <v>69149.70138733153</v>
      </c>
      <c r="K67" s="24">
        <f t="shared" si="43"/>
        <v>76127.671526064689</v>
      </c>
      <c r="L67" s="24">
        <f t="shared" si="43"/>
        <v>83803.438678671169</v>
      </c>
      <c r="M67" s="24">
        <f t="shared" si="43"/>
        <v>92246.782546538263</v>
      </c>
      <c r="N67" s="24">
        <f t="shared" si="43"/>
        <v>101534.46080119211</v>
      </c>
    </row>
    <row r="68" spans="1:14" outlineLevel="1" x14ac:dyDescent="0.45">
      <c r="A68" s="5"/>
      <c r="B68" s="11"/>
      <c r="C68" s="11"/>
      <c r="D68" s="11"/>
      <c r="E68" s="11"/>
      <c r="F68" s="11"/>
      <c r="G68" s="38"/>
      <c r="H68" s="38"/>
      <c r="I68" s="38"/>
      <c r="J68" s="38"/>
      <c r="K68" s="38"/>
      <c r="L68" s="38"/>
      <c r="M68" s="38"/>
      <c r="N68" s="38"/>
    </row>
    <row r="69" spans="1:14" outlineLevel="1" x14ac:dyDescent="0.45">
      <c r="A69" s="9" t="s">
        <v>33</v>
      </c>
      <c r="B69" s="11"/>
      <c r="C69" s="11"/>
      <c r="D69" s="11"/>
      <c r="E69" s="11"/>
      <c r="F69" s="11"/>
      <c r="G69" s="38"/>
      <c r="H69" s="38"/>
      <c r="I69" s="38"/>
      <c r="J69" s="38"/>
      <c r="K69" s="38"/>
      <c r="L69" s="38"/>
      <c r="M69" s="38"/>
      <c r="N69" s="38"/>
    </row>
    <row r="70" spans="1:14" outlineLevel="1" x14ac:dyDescent="0.45">
      <c r="A70" s="7" t="s">
        <v>42</v>
      </c>
      <c r="B70" s="8">
        <v>-15000</v>
      </c>
      <c r="C70" s="8">
        <v>-15000</v>
      </c>
      <c r="D70" s="8">
        <v>-15000</v>
      </c>
      <c r="E70" s="8">
        <v>-15000</v>
      </c>
      <c r="F70" s="8">
        <v>-15000</v>
      </c>
      <c r="G70" s="38">
        <f>-G86</f>
        <v>-20526.169999999998</v>
      </c>
      <c r="H70" s="38">
        <f t="shared" ref="H70:N70" si="44">-H86</f>
        <v>-22389.642000000007</v>
      </c>
      <c r="I70" s="38">
        <f t="shared" si="44"/>
        <v>-24628.606200000002</v>
      </c>
      <c r="J70" s="38">
        <f t="shared" si="44"/>
        <v>-27091.466820000023</v>
      </c>
      <c r="K70" s="38">
        <f t="shared" si="44"/>
        <v>-29800.613502000015</v>
      </c>
      <c r="L70" s="38">
        <f t="shared" si="44"/>
        <v>-32780.674852200013</v>
      </c>
      <c r="M70" s="38">
        <f t="shared" si="44"/>
        <v>-36058.74233742003</v>
      </c>
      <c r="N70" s="38">
        <f t="shared" si="44"/>
        <v>-39664.616571162027</v>
      </c>
    </row>
    <row r="71" spans="1:14" outlineLevel="1" x14ac:dyDescent="0.45">
      <c r="A71" s="9" t="s">
        <v>34</v>
      </c>
      <c r="B71" s="10">
        <f>+B70</f>
        <v>-15000</v>
      </c>
      <c r="C71" s="10">
        <f>+C70</f>
        <v>-15000</v>
      </c>
      <c r="D71" s="10">
        <f>+D70</f>
        <v>-15000</v>
      </c>
      <c r="E71" s="10">
        <f>+E70</f>
        <v>-15000</v>
      </c>
      <c r="F71" s="10">
        <f>+F70</f>
        <v>-15000</v>
      </c>
      <c r="G71" s="24">
        <f t="shared" ref="G71:N71" si="45">+G70</f>
        <v>-20526.169999999998</v>
      </c>
      <c r="H71" s="24">
        <f t="shared" si="45"/>
        <v>-22389.642000000007</v>
      </c>
      <c r="I71" s="24">
        <f t="shared" si="45"/>
        <v>-24628.606200000002</v>
      </c>
      <c r="J71" s="24">
        <f t="shared" si="45"/>
        <v>-27091.466820000023</v>
      </c>
      <c r="K71" s="24">
        <f t="shared" si="45"/>
        <v>-29800.613502000015</v>
      </c>
      <c r="L71" s="24">
        <f t="shared" si="45"/>
        <v>-32780.674852200013</v>
      </c>
      <c r="M71" s="24">
        <f t="shared" si="45"/>
        <v>-36058.74233742003</v>
      </c>
      <c r="N71" s="24">
        <f t="shared" si="45"/>
        <v>-39664.616571162027</v>
      </c>
    </row>
    <row r="72" spans="1:14" outlineLevel="1" x14ac:dyDescent="0.45">
      <c r="A72" s="5"/>
      <c r="B72" s="11"/>
      <c r="C72" s="11"/>
      <c r="D72" s="11"/>
      <c r="E72" s="11"/>
      <c r="F72" s="11"/>
      <c r="G72" s="38"/>
      <c r="H72" s="38"/>
      <c r="I72" s="38"/>
      <c r="J72" s="38"/>
      <c r="K72" s="38"/>
      <c r="L72" s="38"/>
      <c r="M72" s="38"/>
      <c r="N72" s="38"/>
    </row>
    <row r="73" spans="1:14" outlineLevel="1" x14ac:dyDescent="0.45">
      <c r="A73" s="9" t="s">
        <v>35</v>
      </c>
      <c r="B73" s="11"/>
      <c r="C73" s="11"/>
      <c r="D73" s="11"/>
      <c r="E73" s="11"/>
      <c r="F73" s="11"/>
      <c r="G73" s="38"/>
      <c r="H73" s="38"/>
      <c r="I73" s="38"/>
      <c r="J73" s="38"/>
      <c r="K73" s="38"/>
      <c r="L73" s="38"/>
      <c r="M73" s="38"/>
      <c r="N73" s="38"/>
    </row>
    <row r="74" spans="1:14" outlineLevel="1" x14ac:dyDescent="0.45">
      <c r="A74" s="5" t="s">
        <v>41</v>
      </c>
      <c r="B74" s="6">
        <v>0</v>
      </c>
      <c r="C74" s="6">
        <v>0</v>
      </c>
      <c r="D74" s="6">
        <v>-20000</v>
      </c>
      <c r="E74" s="6">
        <v>0</v>
      </c>
      <c r="F74" s="6">
        <v>0</v>
      </c>
      <c r="G74" s="49">
        <v>0</v>
      </c>
      <c r="H74" s="49">
        <v>0</v>
      </c>
      <c r="I74" s="49">
        <v>0</v>
      </c>
      <c r="J74" s="49">
        <v>0</v>
      </c>
      <c r="K74" s="49">
        <v>0</v>
      </c>
      <c r="L74" s="49">
        <v>0</v>
      </c>
      <c r="M74" s="49">
        <v>0</v>
      </c>
      <c r="N74" s="49">
        <v>0</v>
      </c>
    </row>
    <row r="75" spans="1:14" outlineLevel="1" x14ac:dyDescent="0.45">
      <c r="A75" s="7" t="s">
        <v>40</v>
      </c>
      <c r="B75" s="8">
        <v>170000</v>
      </c>
      <c r="C75" s="8">
        <v>0</v>
      </c>
      <c r="D75" s="8">
        <v>0</v>
      </c>
      <c r="E75" s="8">
        <v>0</v>
      </c>
      <c r="F75" s="6">
        <v>0</v>
      </c>
      <c r="G75" s="49">
        <v>0</v>
      </c>
      <c r="H75" s="49">
        <v>0</v>
      </c>
      <c r="I75" s="49">
        <v>0</v>
      </c>
      <c r="J75" s="49">
        <v>0</v>
      </c>
      <c r="K75" s="49">
        <v>0</v>
      </c>
      <c r="L75" s="49">
        <v>0</v>
      </c>
      <c r="M75" s="49">
        <v>0</v>
      </c>
      <c r="N75" s="49">
        <v>0</v>
      </c>
    </row>
    <row r="76" spans="1:14" outlineLevel="1" x14ac:dyDescent="0.45">
      <c r="A76" s="9" t="s">
        <v>36</v>
      </c>
      <c r="B76" s="10">
        <f>SUM(B74:B75)</f>
        <v>170000</v>
      </c>
      <c r="C76" s="10">
        <f>SUM(C74:C75)</f>
        <v>0</v>
      </c>
      <c r="D76" s="10">
        <f>SUM(D74:D75)</f>
        <v>-20000</v>
      </c>
      <c r="E76" s="10">
        <f>SUM(E74:E75)</f>
        <v>0</v>
      </c>
      <c r="F76" s="24">
        <f>SUM(F74:F75)</f>
        <v>0</v>
      </c>
      <c r="G76" s="24">
        <f t="shared" ref="G76:N76" si="46">SUM(G74:G75)</f>
        <v>0</v>
      </c>
      <c r="H76" s="24">
        <f t="shared" si="46"/>
        <v>0</v>
      </c>
      <c r="I76" s="24">
        <f t="shared" si="46"/>
        <v>0</v>
      </c>
      <c r="J76" s="24">
        <f t="shared" si="46"/>
        <v>0</v>
      </c>
      <c r="K76" s="24">
        <f t="shared" si="46"/>
        <v>0</v>
      </c>
      <c r="L76" s="24">
        <f t="shared" si="46"/>
        <v>0</v>
      </c>
      <c r="M76" s="24">
        <f t="shared" si="46"/>
        <v>0</v>
      </c>
      <c r="N76" s="24">
        <f t="shared" si="46"/>
        <v>0</v>
      </c>
    </row>
    <row r="77" spans="1:14" outlineLevel="1" x14ac:dyDescent="0.45">
      <c r="A77" s="5"/>
      <c r="B77" s="11"/>
      <c r="C77" s="11"/>
      <c r="D77" s="11"/>
      <c r="E77" s="11"/>
      <c r="F77" s="11"/>
      <c r="G77" s="38"/>
      <c r="H77" s="38"/>
      <c r="I77" s="38"/>
      <c r="J77" s="38"/>
      <c r="K77" s="38"/>
      <c r="L77" s="38"/>
      <c r="M77" s="38"/>
      <c r="N77" s="38"/>
    </row>
    <row r="78" spans="1:14" outlineLevel="1" x14ac:dyDescent="0.45">
      <c r="A78" s="9" t="s">
        <v>37</v>
      </c>
      <c r="B78" s="10">
        <f>+B67+B71+B76</f>
        <v>167971.17920000001</v>
      </c>
      <c r="C78" s="10">
        <f>+C67+C71+C76</f>
        <v>13238.733497877973</v>
      </c>
      <c r="D78" s="10">
        <f>+D67+D71+D76</f>
        <v>2505.3438851313185</v>
      </c>
      <c r="E78" s="10">
        <f>+E67+E71+E76</f>
        <v>27354.079023595295</v>
      </c>
      <c r="F78" s="10">
        <f>+F67+F71+F76</f>
        <v>28480.184758580297</v>
      </c>
      <c r="G78" s="10">
        <f t="shared" ref="G78" si="47">+G67+G71+G76</f>
        <v>31393.769002739748</v>
      </c>
      <c r="H78" s="10">
        <f t="shared" ref="H78:N78" si="48">+H67+H71+H76</f>
        <v>34649.532700273972</v>
      </c>
      <c r="I78" s="10">
        <f t="shared" si="48"/>
        <v>38177.485970301379</v>
      </c>
      <c r="J78" s="10">
        <f t="shared" si="48"/>
        <v>42058.234567331507</v>
      </c>
      <c r="K78" s="10">
        <f t="shared" si="48"/>
        <v>46327.058024064674</v>
      </c>
      <c r="L78" s="10">
        <f t="shared" si="48"/>
        <v>51022.763826471157</v>
      </c>
      <c r="M78" s="10">
        <f t="shared" si="48"/>
        <v>56188.040209118233</v>
      </c>
      <c r="N78" s="10">
        <f t="shared" si="48"/>
        <v>61869.844230030081</v>
      </c>
    </row>
    <row r="79" spans="1:14" outlineLevel="1" x14ac:dyDescent="0.45">
      <c r="A79" s="7" t="s">
        <v>43</v>
      </c>
      <c r="B79" s="8">
        <v>0</v>
      </c>
      <c r="C79" s="8">
        <v>167971.17920000001</v>
      </c>
      <c r="D79" s="8">
        <v>181209.91269787797</v>
      </c>
      <c r="E79" s="8">
        <v>183715.25658300929</v>
      </c>
      <c r="F79" s="6">
        <v>211069.33560660461</v>
      </c>
      <c r="G79" s="38">
        <f>F80</f>
        <v>239549.5203651849</v>
      </c>
      <c r="H79" s="38">
        <f t="shared" ref="H79:N79" si="49">G80</f>
        <v>270943.28936792468</v>
      </c>
      <c r="I79" s="38">
        <f t="shared" si="49"/>
        <v>305592.82206819864</v>
      </c>
      <c r="J79" s="38">
        <f t="shared" si="49"/>
        <v>343770.30803850002</v>
      </c>
      <c r="K79" s="38">
        <f t="shared" si="49"/>
        <v>385828.54260583152</v>
      </c>
      <c r="L79" s="38">
        <f t="shared" si="49"/>
        <v>432155.60062989622</v>
      </c>
      <c r="M79" s="38">
        <f t="shared" si="49"/>
        <v>483178.36445636739</v>
      </c>
      <c r="N79" s="38">
        <f t="shared" si="49"/>
        <v>539366.40466548561</v>
      </c>
    </row>
    <row r="80" spans="1:14" outlineLevel="1" x14ac:dyDescent="0.45">
      <c r="A80" s="12" t="s">
        <v>44</v>
      </c>
      <c r="B80" s="13">
        <f>+B78+B79</f>
        <v>167971.17920000001</v>
      </c>
      <c r="C80" s="13">
        <f>+C78+C79</f>
        <v>181209.912697878</v>
      </c>
      <c r="D80" s="13">
        <f>+D78+D79</f>
        <v>183715.25658300929</v>
      </c>
      <c r="E80" s="13">
        <f>+E78+E79</f>
        <v>211069.33560660458</v>
      </c>
      <c r="F80" s="13">
        <f>+F78+F79</f>
        <v>239549.5203651849</v>
      </c>
      <c r="G80" s="50">
        <f>SUM(G78:G79)</f>
        <v>270943.28936792468</v>
      </c>
      <c r="H80" s="50">
        <f t="shared" ref="H80:N80" si="50">SUM(H78:H79)</f>
        <v>305592.82206819864</v>
      </c>
      <c r="I80" s="50">
        <f t="shared" si="50"/>
        <v>343770.30803850002</v>
      </c>
      <c r="J80" s="50">
        <f t="shared" si="50"/>
        <v>385828.54260583152</v>
      </c>
      <c r="K80" s="50">
        <f t="shared" si="50"/>
        <v>432155.60062989622</v>
      </c>
      <c r="L80" s="50">
        <f t="shared" si="50"/>
        <v>483178.36445636739</v>
      </c>
      <c r="M80" s="50">
        <f t="shared" si="50"/>
        <v>539366.40466548561</v>
      </c>
      <c r="N80" s="50">
        <f t="shared" si="50"/>
        <v>601236.24889551569</v>
      </c>
    </row>
    <row r="83" spans="1:14" x14ac:dyDescent="0.45">
      <c r="A83" s="51" t="s">
        <v>68</v>
      </c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</row>
    <row r="84" spans="1:14" outlineLevel="1" x14ac:dyDescent="0.45">
      <c r="A84" s="3" t="s">
        <v>69</v>
      </c>
    </row>
    <row r="85" spans="1:14" outlineLevel="1" x14ac:dyDescent="0.45">
      <c r="A85" t="s">
        <v>70</v>
      </c>
      <c r="B85" s="18">
        <f>B88+B87-B86</f>
        <v>50000</v>
      </c>
      <c r="C85" s="18">
        <f t="shared" ref="C85:F85" si="51">C88+C87-C86</f>
        <v>45500</v>
      </c>
      <c r="D85" s="18">
        <f t="shared" si="51"/>
        <v>42350</v>
      </c>
      <c r="E85" s="18">
        <f t="shared" si="51"/>
        <v>40145</v>
      </c>
      <c r="F85" s="18">
        <f t="shared" si="51"/>
        <v>38601.5</v>
      </c>
      <c r="G85" s="18">
        <f>F88</f>
        <v>37521.050000000003</v>
      </c>
      <c r="H85" s="18">
        <f t="shared" ref="H85:N85" si="52">G88</f>
        <v>41462.300000000003</v>
      </c>
      <c r="I85" s="18">
        <f t="shared" si="52"/>
        <v>45608.530000000006</v>
      </c>
      <c r="J85" s="18">
        <f t="shared" si="52"/>
        <v>50169.383000000009</v>
      </c>
      <c r="K85" s="18">
        <f t="shared" si="52"/>
        <v>55186.321300000018</v>
      </c>
      <c r="L85" s="18">
        <f t="shared" si="52"/>
        <v>60704.953430000023</v>
      </c>
      <c r="M85" s="18">
        <f t="shared" si="52"/>
        <v>66775.448773000026</v>
      </c>
      <c r="N85" s="18">
        <f t="shared" si="52"/>
        <v>73452.993650300035</v>
      </c>
    </row>
    <row r="86" spans="1:14" outlineLevel="1" x14ac:dyDescent="0.45">
      <c r="A86" t="s">
        <v>71</v>
      </c>
      <c r="B86" s="18">
        <f>-B70</f>
        <v>15000</v>
      </c>
      <c r="C86" s="18">
        <f t="shared" ref="C86:F86" si="53">-C70</f>
        <v>15000</v>
      </c>
      <c r="D86" s="18">
        <f t="shared" si="53"/>
        <v>15000</v>
      </c>
      <c r="E86" s="18">
        <f t="shared" si="53"/>
        <v>15000</v>
      </c>
      <c r="F86" s="18">
        <f t="shared" si="53"/>
        <v>15000</v>
      </c>
      <c r="G86" s="18">
        <f>G88+G87-G85</f>
        <v>20526.169999999998</v>
      </c>
      <c r="H86" s="18">
        <f t="shared" ref="H86:N86" si="54">H88+H87-H85</f>
        <v>22389.642000000007</v>
      </c>
      <c r="I86" s="18">
        <f t="shared" si="54"/>
        <v>24628.606200000002</v>
      </c>
      <c r="J86" s="18">
        <f t="shared" si="54"/>
        <v>27091.466820000023</v>
      </c>
      <c r="K86" s="18">
        <f t="shared" si="54"/>
        <v>29800.613502000015</v>
      </c>
      <c r="L86" s="18">
        <f t="shared" si="54"/>
        <v>32780.674852200013</v>
      </c>
      <c r="M86" s="18">
        <f t="shared" si="54"/>
        <v>36058.74233742003</v>
      </c>
      <c r="N86" s="18">
        <f t="shared" si="54"/>
        <v>39664.616571162027</v>
      </c>
    </row>
    <row r="87" spans="1:14" outlineLevel="1" x14ac:dyDescent="0.45">
      <c r="A87" t="s">
        <v>72</v>
      </c>
      <c r="B87" s="18">
        <f>-B29</f>
        <v>19500</v>
      </c>
      <c r="C87" s="18">
        <f t="shared" ref="C87:F87" si="55">-C29</f>
        <v>18150</v>
      </c>
      <c r="D87" s="18">
        <f t="shared" si="55"/>
        <v>17205</v>
      </c>
      <c r="E87" s="18">
        <f t="shared" si="55"/>
        <v>16543.5</v>
      </c>
      <c r="F87" s="18">
        <f t="shared" si="55"/>
        <v>16080.45</v>
      </c>
      <c r="G87" s="18">
        <f>-G29</f>
        <v>16584.920000000002</v>
      </c>
      <c r="H87" s="18">
        <f t="shared" ref="H87:N87" si="56">-H29</f>
        <v>18243.412000000004</v>
      </c>
      <c r="I87" s="18">
        <f t="shared" si="56"/>
        <v>20067.753200000006</v>
      </c>
      <c r="J87" s="18">
        <f t="shared" si="56"/>
        <v>22074.528520000007</v>
      </c>
      <c r="K87" s="18">
        <f t="shared" si="56"/>
        <v>24281.981372000009</v>
      </c>
      <c r="L87" s="18">
        <f t="shared" si="56"/>
        <v>26710.17950920001</v>
      </c>
      <c r="M87" s="18">
        <f t="shared" si="56"/>
        <v>29381.197460120016</v>
      </c>
      <c r="N87" s="18">
        <f t="shared" si="56"/>
        <v>32319.317206132018</v>
      </c>
    </row>
    <row r="88" spans="1:14" outlineLevel="1" x14ac:dyDescent="0.45">
      <c r="A88" s="19" t="s">
        <v>73</v>
      </c>
      <c r="B88" s="20">
        <f>B39</f>
        <v>45500</v>
      </c>
      <c r="C88" s="20">
        <f t="shared" ref="C88:F88" si="57">C39</f>
        <v>42350</v>
      </c>
      <c r="D88" s="20">
        <f t="shared" si="57"/>
        <v>40145</v>
      </c>
      <c r="E88" s="20">
        <f t="shared" si="57"/>
        <v>38601.5</v>
      </c>
      <c r="F88" s="20">
        <f t="shared" si="57"/>
        <v>37521.050000000003</v>
      </c>
      <c r="G88" s="20">
        <f>G24/G16</f>
        <v>41462.300000000003</v>
      </c>
      <c r="H88" s="20">
        <f t="shared" ref="H88:N88" si="58">H24/H16</f>
        <v>45608.530000000006</v>
      </c>
      <c r="I88" s="20">
        <f t="shared" si="58"/>
        <v>50169.383000000009</v>
      </c>
      <c r="J88" s="20">
        <f t="shared" si="58"/>
        <v>55186.321300000018</v>
      </c>
      <c r="K88" s="20">
        <f t="shared" si="58"/>
        <v>60704.953430000023</v>
      </c>
      <c r="L88" s="20">
        <f t="shared" si="58"/>
        <v>66775.448773000026</v>
      </c>
      <c r="M88" s="20">
        <f t="shared" si="58"/>
        <v>73452.993650300035</v>
      </c>
      <c r="N88" s="20">
        <f t="shared" si="58"/>
        <v>80798.29301533004</v>
      </c>
    </row>
    <row r="89" spans="1:14" outlineLevel="1" x14ac:dyDescent="0.45"/>
    <row r="90" spans="1:14" outlineLevel="1" x14ac:dyDescent="0.45">
      <c r="A90" s="3" t="s">
        <v>21</v>
      </c>
      <c r="B90" s="18"/>
    </row>
    <row r="91" spans="1:14" outlineLevel="1" x14ac:dyDescent="0.45">
      <c r="A91" t="s">
        <v>70</v>
      </c>
      <c r="B91" s="18">
        <f>B94-B92</f>
        <v>0</v>
      </c>
      <c r="C91" s="18">
        <f t="shared" ref="C91:F91" si="59">C94-C92</f>
        <v>2473.8291999999983</v>
      </c>
      <c r="D91" s="18">
        <f t="shared" si="59"/>
        <v>14264.612697877976</v>
      </c>
      <c r="E91" s="18">
        <f t="shared" si="59"/>
        <v>35339.806583009311</v>
      </c>
      <c r="F91" s="18">
        <f t="shared" si="59"/>
        <v>62053.285606604593</v>
      </c>
      <c r="G91" s="18">
        <f>F94</f>
        <v>90280.170365184895</v>
      </c>
      <c r="H91" s="18">
        <f>G94</f>
        <v>126800.3911651849</v>
      </c>
      <c r="I91" s="18">
        <f>H94</f>
        <v>167035.63404518491</v>
      </c>
      <c r="J91" s="18">
        <f t="shared" ref="J91:N91" si="60">I94</f>
        <v>211357.40121318493</v>
      </c>
      <c r="K91" s="18">
        <f t="shared" si="60"/>
        <v>260174.34509798494</v>
      </c>
      <c r="L91" s="18">
        <f t="shared" si="60"/>
        <v>313935.983371265</v>
      </c>
      <c r="M91" s="18">
        <f t="shared" si="60"/>
        <v>373136.78547187301</v>
      </c>
      <c r="N91" s="18">
        <f t="shared" si="60"/>
        <v>438320.66778254183</v>
      </c>
    </row>
    <row r="92" spans="1:14" outlineLevel="1" x14ac:dyDescent="0.45">
      <c r="A92" t="s">
        <v>76</v>
      </c>
      <c r="B92" s="18">
        <f>B33</f>
        <v>2473.8292000000001</v>
      </c>
      <c r="C92" s="18">
        <f t="shared" ref="C92:I92" si="61">C33</f>
        <v>11790.78349787797</v>
      </c>
      <c r="D92" s="18">
        <f t="shared" si="61"/>
        <v>21075.193885131321</v>
      </c>
      <c r="E92" s="18">
        <f t="shared" si="61"/>
        <v>26713.479023595301</v>
      </c>
      <c r="F92" s="18">
        <f t="shared" si="61"/>
        <v>28226.884758580301</v>
      </c>
      <c r="G92" s="18">
        <f t="shared" si="61"/>
        <v>36520.220800000017</v>
      </c>
      <c r="H92" s="18">
        <f t="shared" si="61"/>
        <v>40235.242880000005</v>
      </c>
      <c r="I92" s="18">
        <f t="shared" si="61"/>
        <v>44321.767168000006</v>
      </c>
      <c r="J92" s="18">
        <f t="shared" ref="J92:N92" si="62">J33</f>
        <v>48816.943884800014</v>
      </c>
      <c r="K92" s="18">
        <f t="shared" si="62"/>
        <v>53761.638273280027</v>
      </c>
      <c r="L92" s="18">
        <f t="shared" si="62"/>
        <v>59200.802100608038</v>
      </c>
      <c r="M92" s="18">
        <f t="shared" si="62"/>
        <v>65183.882310668807</v>
      </c>
      <c r="N92" s="18">
        <f t="shared" si="62"/>
        <v>71765.270541735707</v>
      </c>
    </row>
    <row r="93" spans="1:14" outlineLevel="1" x14ac:dyDescent="0.45">
      <c r="A93" t="s">
        <v>74</v>
      </c>
    </row>
    <row r="94" spans="1:14" outlineLevel="1" x14ac:dyDescent="0.45">
      <c r="A94" s="19" t="s">
        <v>75</v>
      </c>
      <c r="B94" s="20">
        <f>B49</f>
        <v>2473.8292000000001</v>
      </c>
      <c r="C94" s="20">
        <f t="shared" ref="C94:F94" si="63">C49</f>
        <v>14264.612697877968</v>
      </c>
      <c r="D94" s="20">
        <f t="shared" si="63"/>
        <v>35339.806583009296</v>
      </c>
      <c r="E94" s="20">
        <f t="shared" si="63"/>
        <v>62053.285606604608</v>
      </c>
      <c r="F94" s="20">
        <f t="shared" si="63"/>
        <v>90280.170365184895</v>
      </c>
      <c r="G94" s="20">
        <f>SUM(G91:G92)</f>
        <v>126800.3911651849</v>
      </c>
      <c r="H94" s="20">
        <f t="shared" ref="H94:I94" si="64">SUM(H91:H92)</f>
        <v>167035.63404518491</v>
      </c>
      <c r="I94" s="20">
        <f t="shared" si="64"/>
        <v>211357.40121318493</v>
      </c>
      <c r="J94" s="20">
        <f t="shared" ref="J94:N94" si="65">SUM(J91:J92)</f>
        <v>260174.34509798494</v>
      </c>
      <c r="K94" s="20">
        <f t="shared" si="65"/>
        <v>313935.983371265</v>
      </c>
      <c r="L94" s="20">
        <f t="shared" si="65"/>
        <v>373136.78547187301</v>
      </c>
      <c r="M94" s="20">
        <f t="shared" si="65"/>
        <v>438320.66778254183</v>
      </c>
      <c r="N94" s="20">
        <f t="shared" si="65"/>
        <v>510085.93832427752</v>
      </c>
    </row>
    <row r="95" spans="1:14" outlineLevel="1" x14ac:dyDescent="0.45"/>
    <row r="96" spans="1:14" outlineLevel="1" x14ac:dyDescent="0.45">
      <c r="A96" s="3" t="s">
        <v>77</v>
      </c>
    </row>
    <row r="97" spans="1:14" outlineLevel="1" x14ac:dyDescent="0.45">
      <c r="A97" t="s">
        <v>78</v>
      </c>
      <c r="B97" s="18">
        <f>-(B42-0)</f>
        <v>-5100.3500000000004</v>
      </c>
      <c r="C97" s="18">
        <f>-(C42-B42)</f>
        <v>-803.94999999999982</v>
      </c>
      <c r="D97" s="18">
        <f t="shared" ref="D97:N97" si="66">-(D42-C42)</f>
        <v>-662.94999999999982</v>
      </c>
      <c r="E97" s="18">
        <f t="shared" si="66"/>
        <v>-549.80000000000018</v>
      </c>
      <c r="F97" s="18">
        <f t="shared" si="66"/>
        <v>-421.55000000000018</v>
      </c>
      <c r="G97" s="18">
        <f t="shared" si="66"/>
        <v>-640.26465753424691</v>
      </c>
      <c r="H97" s="18">
        <f t="shared" si="66"/>
        <v>-817.88646575342409</v>
      </c>
      <c r="I97" s="18">
        <f t="shared" si="66"/>
        <v>-899.67511232876859</v>
      </c>
      <c r="J97" s="18">
        <f t="shared" si="66"/>
        <v>-989.64262356164545</v>
      </c>
      <c r="K97" s="18">
        <f t="shared" si="66"/>
        <v>-1088.6068859178085</v>
      </c>
      <c r="L97" s="18">
        <f t="shared" si="66"/>
        <v>-1197.4675745095901</v>
      </c>
      <c r="M97" s="18">
        <f t="shared" si="66"/>
        <v>-1317.2143319605493</v>
      </c>
      <c r="N97" s="18">
        <f t="shared" si="66"/>
        <v>-1448.9357651566042</v>
      </c>
    </row>
    <row r="98" spans="1:14" outlineLevel="1" x14ac:dyDescent="0.45">
      <c r="A98" t="s">
        <v>79</v>
      </c>
      <c r="B98" s="18">
        <f>(B55-0)</f>
        <v>3902.3</v>
      </c>
      <c r="C98" s="18">
        <f>(C55-B55)</f>
        <v>898.10000000000036</v>
      </c>
      <c r="D98" s="18">
        <f t="shared" ref="D98:N98" si="67">(D55-C55)</f>
        <v>111.89999999999964</v>
      </c>
      <c r="E98" s="18">
        <f t="shared" si="67"/>
        <v>353.10000000000036</v>
      </c>
      <c r="F98" s="18">
        <f t="shared" si="67"/>
        <v>405.59999999999945</v>
      </c>
      <c r="G98" s="18">
        <f t="shared" si="67"/>
        <v>544.93713972602745</v>
      </c>
      <c r="H98" s="18">
        <f t="shared" si="67"/>
        <v>621.59371397260384</v>
      </c>
      <c r="I98" s="18">
        <f t="shared" si="67"/>
        <v>683.75308536986267</v>
      </c>
      <c r="J98" s="18">
        <f t="shared" si="67"/>
        <v>752.12839390684985</v>
      </c>
      <c r="K98" s="18">
        <f t="shared" si="67"/>
        <v>827.34123329753675</v>
      </c>
      <c r="L98" s="18">
        <f t="shared" si="67"/>
        <v>910.07535662728696</v>
      </c>
      <c r="M98" s="18">
        <f t="shared" si="67"/>
        <v>1001.0828922900182</v>
      </c>
      <c r="N98" s="18">
        <f t="shared" si="67"/>
        <v>1101.1911815190197</v>
      </c>
    </row>
    <row r="99" spans="1:14" outlineLevel="1" x14ac:dyDescent="0.45">
      <c r="A99" t="s">
        <v>80</v>
      </c>
      <c r="B99" s="18">
        <f>-(B43-0)</f>
        <v>-7804.6</v>
      </c>
      <c r="C99" s="18">
        <f>-(C43-B43)</f>
        <v>-1796.2000000000007</v>
      </c>
      <c r="D99" s="18">
        <f t="shared" ref="D99:N99" si="68">-(D43-C43)</f>
        <v>-223.79999999999927</v>
      </c>
      <c r="E99" s="18">
        <f t="shared" si="68"/>
        <v>-706.20000000000073</v>
      </c>
      <c r="F99" s="18">
        <f t="shared" si="68"/>
        <v>-811.19999999999891</v>
      </c>
      <c r="G99" s="18">
        <f t="shared" si="68"/>
        <v>-1089.8742794520549</v>
      </c>
      <c r="H99" s="18">
        <f t="shared" si="68"/>
        <v>-1243.1874279452077</v>
      </c>
      <c r="I99" s="18">
        <f t="shared" si="68"/>
        <v>-1367.5061707397253</v>
      </c>
      <c r="J99" s="18">
        <f t="shared" si="68"/>
        <v>-1504.2567878136997</v>
      </c>
      <c r="K99" s="18">
        <f t="shared" si="68"/>
        <v>-1654.6824665950735</v>
      </c>
      <c r="L99" s="18">
        <f t="shared" si="68"/>
        <v>-1820.1507132545739</v>
      </c>
      <c r="M99" s="18">
        <f t="shared" si="68"/>
        <v>-2002.1657845800364</v>
      </c>
      <c r="N99" s="18">
        <f t="shared" si="68"/>
        <v>-2202.3823630380393</v>
      </c>
    </row>
    <row r="100" spans="1:14" outlineLevel="1" x14ac:dyDescent="0.45">
      <c r="A100" s="19" t="s">
        <v>27</v>
      </c>
      <c r="B100" s="20">
        <f>SUM(B97:B99)</f>
        <v>-9002.6500000000015</v>
      </c>
      <c r="C100" s="20">
        <f>SUM(C97:C99)</f>
        <v>-1702.0500000000002</v>
      </c>
      <c r="D100" s="20">
        <f t="shared" ref="D100:N100" si="69">SUM(D97:D99)</f>
        <v>-774.84999999999945</v>
      </c>
      <c r="E100" s="20">
        <f t="shared" si="69"/>
        <v>-902.90000000000055</v>
      </c>
      <c r="F100" s="20">
        <f t="shared" si="69"/>
        <v>-827.14999999999964</v>
      </c>
      <c r="G100" s="20">
        <f t="shared" si="69"/>
        <v>-1185.2017972602744</v>
      </c>
      <c r="H100" s="20">
        <f t="shared" si="69"/>
        <v>-1439.4801797260279</v>
      </c>
      <c r="I100" s="20">
        <f t="shared" si="69"/>
        <v>-1583.4281976986313</v>
      </c>
      <c r="J100" s="20">
        <f t="shared" si="69"/>
        <v>-1741.7710174684953</v>
      </c>
      <c r="K100" s="20">
        <f t="shared" si="69"/>
        <v>-1915.9481192153453</v>
      </c>
      <c r="L100" s="20">
        <f t="shared" si="69"/>
        <v>-2107.5429311368771</v>
      </c>
      <c r="M100" s="20">
        <f t="shared" si="69"/>
        <v>-2318.2972242505675</v>
      </c>
      <c r="N100" s="20">
        <f t="shared" si="69"/>
        <v>-2550.1269466756239</v>
      </c>
    </row>
  </sheetData>
  <conditionalFormatting sqref="B4:N5">
    <cfRule type="containsText" dxfId="1" priority="1" operator="containsText" text="ERROR">
      <formula>NOT(ISERROR(SEARCH("ERROR",B4)))</formula>
    </cfRule>
    <cfRule type="containsText" dxfId="0" priority="2" operator="containsText" text="OK">
      <formula>NOT(ISERROR(SEARCH("OK",B4)))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B776C-83C3-46BC-8485-27F97D437808}">
  <sheetPr>
    <tabColor theme="7" tint="-0.249977111117893"/>
  </sheetPr>
  <dimension ref="B2:O33"/>
  <sheetViews>
    <sheetView showGridLines="0" zoomScale="62" zoomScaleNormal="73" workbookViewId="0">
      <selection activeCell="S10" sqref="S10"/>
    </sheetView>
  </sheetViews>
  <sheetFormatPr defaultRowHeight="17.5" x14ac:dyDescent="0.45"/>
  <cols>
    <col min="1" max="1" width="6.921875" customWidth="1"/>
    <col min="2" max="2" width="18.61328125" customWidth="1"/>
    <col min="3" max="3" width="16.765625" bestFit="1" customWidth="1"/>
    <col min="4" max="4" width="11.69140625" bestFit="1" customWidth="1"/>
    <col min="5" max="5" width="10.61328125" customWidth="1"/>
    <col min="6" max="6" width="11.69140625" bestFit="1" customWidth="1"/>
    <col min="7" max="7" width="16.3046875" customWidth="1"/>
    <col min="8" max="10" width="11.69140625" bestFit="1" customWidth="1"/>
    <col min="11" max="11" width="15.23046875" customWidth="1"/>
    <col min="12" max="15" width="11.69140625" bestFit="1" customWidth="1"/>
    <col min="16" max="16" width="6.84375" customWidth="1"/>
  </cols>
  <sheetData>
    <row r="2" spans="2:15" x14ac:dyDescent="0.45">
      <c r="B2" s="81" t="s">
        <v>94</v>
      </c>
      <c r="C2" s="82"/>
      <c r="D2" s="76"/>
      <c r="E2" s="81" t="s">
        <v>95</v>
      </c>
      <c r="F2" s="89"/>
      <c r="G2" s="89"/>
      <c r="H2" s="76"/>
      <c r="I2" s="81" t="s">
        <v>96</v>
      </c>
      <c r="J2" s="89"/>
      <c r="K2" s="89"/>
      <c r="L2" s="76"/>
      <c r="M2" s="81" t="s">
        <v>97</v>
      </c>
      <c r="N2" s="82"/>
      <c r="O2" s="76"/>
    </row>
    <row r="3" spans="2:15" ht="25" x14ac:dyDescent="0.7">
      <c r="B3" s="69">
        <f>H20</f>
        <v>165849.20000000001</v>
      </c>
      <c r="C3" s="70">
        <f>O20</f>
        <v>323193.17206132016</v>
      </c>
      <c r="D3" s="76"/>
      <c r="E3" s="87">
        <f>H23</f>
        <v>69656.664000000019</v>
      </c>
      <c r="F3" s="88"/>
      <c r="G3" s="73">
        <f>O23</f>
        <v>135741.13226575445</v>
      </c>
      <c r="H3" s="76"/>
      <c r="I3" s="87">
        <f>H29</f>
        <v>31393.769002739748</v>
      </c>
      <c r="J3" s="88"/>
      <c r="K3" s="73">
        <f>O29</f>
        <v>61869.844230030081</v>
      </c>
      <c r="L3" s="76"/>
      <c r="M3" s="83">
        <f>H32</f>
        <v>0.4200000000000001</v>
      </c>
      <c r="N3" s="84"/>
      <c r="O3" s="77"/>
    </row>
    <row r="4" spans="2:15" ht="17.5" customHeight="1" x14ac:dyDescent="0.45">
      <c r="B4" s="71">
        <v>2023</v>
      </c>
      <c r="C4" s="72">
        <v>2030</v>
      </c>
      <c r="D4" s="76"/>
      <c r="E4" s="74"/>
      <c r="F4" s="75">
        <v>2023</v>
      </c>
      <c r="G4" s="72">
        <v>2030</v>
      </c>
      <c r="H4" s="76"/>
      <c r="I4" s="74"/>
      <c r="J4" s="75">
        <v>2023</v>
      </c>
      <c r="K4" s="72">
        <v>2030</v>
      </c>
      <c r="L4" s="76"/>
      <c r="M4" s="85">
        <v>2023</v>
      </c>
      <c r="N4" s="86"/>
      <c r="O4" s="78"/>
    </row>
    <row r="5" spans="2:15" ht="10.5" customHeight="1" x14ac:dyDescent="0.45"/>
    <row r="17" spans="2:15" x14ac:dyDescent="0.45">
      <c r="M17" t="s">
        <v>93</v>
      </c>
    </row>
    <row r="18" spans="2:15" ht="18" thickBot="1" x14ac:dyDescent="0.5"/>
    <row r="19" spans="2:15" ht="18" thickBot="1" x14ac:dyDescent="0.5">
      <c r="B19" s="54" t="s">
        <v>81</v>
      </c>
      <c r="C19" s="55">
        <f>'3 Statement Model'!B2</f>
        <v>2018</v>
      </c>
      <c r="D19" s="55">
        <f>'3 Statement Model'!C2</f>
        <v>2019</v>
      </c>
      <c r="E19" s="55">
        <f>'3 Statement Model'!D2</f>
        <v>2020</v>
      </c>
      <c r="F19" s="55">
        <f>'3 Statement Model'!E2</f>
        <v>2021</v>
      </c>
      <c r="G19" s="55">
        <f>'3 Statement Model'!F2</f>
        <v>2022</v>
      </c>
      <c r="H19" s="55">
        <f>'3 Statement Model'!G2</f>
        <v>2023</v>
      </c>
      <c r="I19" s="55">
        <f>'3 Statement Model'!H2</f>
        <v>2024</v>
      </c>
      <c r="J19" s="55">
        <f>'3 Statement Model'!I2</f>
        <v>2025</v>
      </c>
      <c r="K19" s="55">
        <f>'3 Statement Model'!J2</f>
        <v>2026</v>
      </c>
      <c r="L19" s="55">
        <f>'3 Statement Model'!K2</f>
        <v>2027</v>
      </c>
      <c r="M19" s="55">
        <f>'3 Statement Model'!L2</f>
        <v>2028</v>
      </c>
      <c r="N19" s="55">
        <f>'3 Statement Model'!M2</f>
        <v>2029</v>
      </c>
      <c r="O19" s="56">
        <f>'3 Statement Model'!N2</f>
        <v>2030</v>
      </c>
    </row>
    <row r="20" spans="2:15" ht="18" thickTop="1" x14ac:dyDescent="0.45">
      <c r="B20" s="57" t="s">
        <v>0</v>
      </c>
      <c r="C20" s="58">
        <f>'3 Statement Model'!B24</f>
        <v>102007</v>
      </c>
      <c r="D20" s="58">
        <f>'3 Statement Model'!C24</f>
        <v>118086</v>
      </c>
      <c r="E20" s="58">
        <f>'3 Statement Model'!D24</f>
        <v>131345</v>
      </c>
      <c r="F20" s="58">
        <f>'3 Statement Model'!E24</f>
        <v>142341</v>
      </c>
      <c r="G20" s="58">
        <f>'3 Statement Model'!F24</f>
        <v>150772</v>
      </c>
      <c r="H20" s="58">
        <f>'3 Statement Model'!G24</f>
        <v>165849.20000000001</v>
      </c>
      <c r="I20" s="58">
        <f>'3 Statement Model'!H24</f>
        <v>182434.12000000002</v>
      </c>
      <c r="J20" s="58">
        <f>'3 Statement Model'!I24</f>
        <v>200677.53200000004</v>
      </c>
      <c r="K20" s="58">
        <f>'3 Statement Model'!J24</f>
        <v>220745.28520000007</v>
      </c>
      <c r="L20" s="58">
        <f>'3 Statement Model'!K24</f>
        <v>242819.81372000009</v>
      </c>
      <c r="M20" s="58">
        <f>'3 Statement Model'!L24</f>
        <v>267101.7950920001</v>
      </c>
      <c r="N20" s="58">
        <f>'3 Statement Model'!M24</f>
        <v>293811.97460120014</v>
      </c>
      <c r="O20" s="59">
        <f>'3 Statement Model'!N24</f>
        <v>323193.17206132016</v>
      </c>
    </row>
    <row r="21" spans="2:15" x14ac:dyDescent="0.45">
      <c r="B21" s="60" t="s">
        <v>89</v>
      </c>
      <c r="C21" s="58">
        <f>C20</f>
        <v>102007</v>
      </c>
      <c r="D21" s="58">
        <f t="shared" ref="D21:G21" si="0">D20</f>
        <v>118086</v>
      </c>
      <c r="E21" s="58">
        <f t="shared" si="0"/>
        <v>131345</v>
      </c>
      <c r="F21" s="58">
        <f t="shared" si="0"/>
        <v>142341</v>
      </c>
      <c r="G21" s="58">
        <f t="shared" si="0"/>
        <v>150772</v>
      </c>
      <c r="H21" s="67" t="e">
        <f>NA()</f>
        <v>#N/A</v>
      </c>
      <c r="I21" s="67" t="e">
        <f>NA()</f>
        <v>#N/A</v>
      </c>
      <c r="J21" s="67" t="e">
        <f>NA()</f>
        <v>#N/A</v>
      </c>
      <c r="K21" s="67" t="e">
        <f>NA()</f>
        <v>#N/A</v>
      </c>
      <c r="L21" s="67" t="e">
        <f>NA()</f>
        <v>#N/A</v>
      </c>
      <c r="M21" s="67" t="e">
        <f>NA()</f>
        <v>#N/A</v>
      </c>
      <c r="N21" s="67" t="e">
        <f>NA()</f>
        <v>#N/A</v>
      </c>
      <c r="O21" s="68" t="e">
        <f>NA()</f>
        <v>#N/A</v>
      </c>
    </row>
    <row r="22" spans="2:15" x14ac:dyDescent="0.45">
      <c r="B22" s="60" t="s">
        <v>90</v>
      </c>
      <c r="C22" s="67" t="e">
        <f>NA()</f>
        <v>#N/A</v>
      </c>
      <c r="D22" s="67" t="e">
        <f>NA()</f>
        <v>#N/A</v>
      </c>
      <c r="E22" s="67" t="e">
        <f>NA()</f>
        <v>#N/A</v>
      </c>
      <c r="F22" s="67" t="e">
        <f>NA()</f>
        <v>#N/A</v>
      </c>
      <c r="G22" s="67" t="e">
        <f>NA()</f>
        <v>#N/A</v>
      </c>
      <c r="H22" s="58">
        <f>H20</f>
        <v>165849.20000000001</v>
      </c>
      <c r="I22" s="58">
        <f t="shared" ref="I22:O22" si="1">I20</f>
        <v>182434.12000000002</v>
      </c>
      <c r="J22" s="58">
        <f t="shared" si="1"/>
        <v>200677.53200000004</v>
      </c>
      <c r="K22" s="58">
        <f t="shared" si="1"/>
        <v>220745.28520000007</v>
      </c>
      <c r="L22" s="58">
        <f t="shared" si="1"/>
        <v>242819.81372000009</v>
      </c>
      <c r="M22" s="58">
        <f t="shared" si="1"/>
        <v>267101.7950920001</v>
      </c>
      <c r="N22" s="58">
        <f t="shared" si="1"/>
        <v>293811.97460120014</v>
      </c>
      <c r="O22" s="59">
        <f t="shared" si="1"/>
        <v>323193.17206132016</v>
      </c>
    </row>
    <row r="23" spans="2:15" x14ac:dyDescent="0.45">
      <c r="B23" s="57" t="s">
        <v>82</v>
      </c>
      <c r="C23" s="58">
        <f>'3 Statement Model'!B26 + '3 Statement Model'!B28</f>
        <v>25594</v>
      </c>
      <c r="D23" s="58">
        <f>'3 Statement Model'!C26 + '3 Statement Model'!C28</f>
        <v>37299</v>
      </c>
      <c r="E23" s="58">
        <f>'3 Statement Model'!D26 + '3 Statement Model'!D28</f>
        <v>48263</v>
      </c>
      <c r="F23" s="58">
        <f>'3 Statement Model'!E26 + '3 Statement Model'!E28</f>
        <v>55065</v>
      </c>
      <c r="G23" s="58">
        <f>'3 Statement Model'!F26 + '3 Statement Model'!F28</f>
        <v>56805</v>
      </c>
      <c r="H23" s="58">
        <f>'3 Statement Model'!G26 + '3 Statement Model'!G28</f>
        <v>69656.664000000019</v>
      </c>
      <c r="I23" s="58">
        <f>'3 Statement Model'!H26 + '3 Statement Model'!H28</f>
        <v>76622.330400000006</v>
      </c>
      <c r="J23" s="58">
        <f>'3 Statement Model'!I26 + '3 Statement Model'!I28</f>
        <v>84284.563440000013</v>
      </c>
      <c r="K23" s="58">
        <f>'3 Statement Model'!J26 + '3 Statement Model'!J28</f>
        <v>92713.019784000033</v>
      </c>
      <c r="L23" s="58">
        <f>'3 Statement Model'!K26 + '3 Statement Model'!K28</f>
        <v>101984.32176240004</v>
      </c>
      <c r="M23" s="58">
        <f>'3 Statement Model'!L26 + '3 Statement Model'!L28</f>
        <v>112182.75393864006</v>
      </c>
      <c r="N23" s="58">
        <f>'3 Statement Model'!M26 + '3 Statement Model'!M28</f>
        <v>123401.02933250403</v>
      </c>
      <c r="O23" s="59">
        <f>'3 Statement Model'!N26 + '3 Statement Model'!N28</f>
        <v>135741.13226575445</v>
      </c>
    </row>
    <row r="24" spans="2:15" x14ac:dyDescent="0.45">
      <c r="B24" s="57" t="s">
        <v>88</v>
      </c>
      <c r="C24" s="58">
        <f>'3 Statement Model'!B33</f>
        <v>2473.8292000000001</v>
      </c>
      <c r="D24" s="58">
        <f>'3 Statement Model'!C33</f>
        <v>11790.78349787797</v>
      </c>
      <c r="E24" s="58">
        <f>'3 Statement Model'!D33</f>
        <v>21075.193885131321</v>
      </c>
      <c r="F24" s="58">
        <f>'3 Statement Model'!E33</f>
        <v>26713.479023595301</v>
      </c>
      <c r="G24" s="58">
        <f>'3 Statement Model'!F33</f>
        <v>28226.884758580301</v>
      </c>
      <c r="H24" s="58">
        <f>'3 Statement Model'!G33</f>
        <v>36520.220800000017</v>
      </c>
      <c r="I24" s="58">
        <f>'3 Statement Model'!H33</f>
        <v>40235.242880000005</v>
      </c>
      <c r="J24" s="58">
        <f>'3 Statement Model'!I33</f>
        <v>44321.767168000006</v>
      </c>
      <c r="K24" s="58">
        <f>'3 Statement Model'!J33</f>
        <v>48816.943884800014</v>
      </c>
      <c r="L24" s="58">
        <f>'3 Statement Model'!K33</f>
        <v>53761.638273280027</v>
      </c>
      <c r="M24" s="58">
        <f>'3 Statement Model'!L33</f>
        <v>59200.802100608038</v>
      </c>
      <c r="N24" s="58">
        <f>'3 Statement Model'!M33</f>
        <v>65183.882310668807</v>
      </c>
      <c r="O24" s="59">
        <f>'3 Statement Model'!N33</f>
        <v>71765.270541735707</v>
      </c>
    </row>
    <row r="25" spans="2:15" x14ac:dyDescent="0.45">
      <c r="B25" s="60" t="s">
        <v>89</v>
      </c>
      <c r="C25" s="58">
        <f>C24</f>
        <v>2473.8292000000001</v>
      </c>
      <c r="D25" s="58">
        <f t="shared" ref="D25:G25" si="2">D24</f>
        <v>11790.78349787797</v>
      </c>
      <c r="E25" s="58">
        <f t="shared" si="2"/>
        <v>21075.193885131321</v>
      </c>
      <c r="F25" s="58">
        <f t="shared" si="2"/>
        <v>26713.479023595301</v>
      </c>
      <c r="G25" s="58">
        <f t="shared" si="2"/>
        <v>28226.884758580301</v>
      </c>
      <c r="H25" s="67" t="e">
        <f>NA()</f>
        <v>#N/A</v>
      </c>
      <c r="I25" s="67" t="e">
        <f>NA()</f>
        <v>#N/A</v>
      </c>
      <c r="J25" s="67" t="e">
        <f>NA()</f>
        <v>#N/A</v>
      </c>
      <c r="K25" s="67" t="e">
        <f>NA()</f>
        <v>#N/A</v>
      </c>
      <c r="L25" s="67" t="e">
        <f>NA()</f>
        <v>#N/A</v>
      </c>
      <c r="M25" s="67" t="e">
        <f>NA()</f>
        <v>#N/A</v>
      </c>
      <c r="N25" s="67" t="e">
        <f>NA()</f>
        <v>#N/A</v>
      </c>
      <c r="O25" s="68" t="e">
        <f>NA()</f>
        <v>#N/A</v>
      </c>
    </row>
    <row r="26" spans="2:15" x14ac:dyDescent="0.45">
      <c r="B26" s="60" t="s">
        <v>90</v>
      </c>
      <c r="C26" s="67" t="e">
        <f>NA()</f>
        <v>#N/A</v>
      </c>
      <c r="D26" s="67" t="e">
        <f>NA()</f>
        <v>#N/A</v>
      </c>
      <c r="E26" s="67" t="e">
        <f>NA()</f>
        <v>#N/A</v>
      </c>
      <c r="F26" s="67" t="e">
        <f>NA()</f>
        <v>#N/A</v>
      </c>
      <c r="G26" s="67" t="e">
        <f>NA()</f>
        <v>#N/A</v>
      </c>
      <c r="H26" s="58">
        <f>H24</f>
        <v>36520.220800000017</v>
      </c>
      <c r="I26" s="58">
        <f t="shared" ref="I26:O26" si="3">I24</f>
        <v>40235.242880000005</v>
      </c>
      <c r="J26" s="58">
        <f t="shared" si="3"/>
        <v>44321.767168000006</v>
      </c>
      <c r="K26" s="58">
        <f t="shared" si="3"/>
        <v>48816.943884800014</v>
      </c>
      <c r="L26" s="58">
        <f t="shared" si="3"/>
        <v>53761.638273280027</v>
      </c>
      <c r="M26" s="58">
        <f t="shared" si="3"/>
        <v>59200.802100608038</v>
      </c>
      <c r="N26" s="58">
        <f t="shared" si="3"/>
        <v>65183.882310668807</v>
      </c>
      <c r="O26" s="59">
        <f t="shared" si="3"/>
        <v>71765.270541735707</v>
      </c>
    </row>
    <row r="27" spans="2:15" x14ac:dyDescent="0.45">
      <c r="B27" s="57" t="s">
        <v>83</v>
      </c>
      <c r="C27" s="58">
        <f>'3 Statement Model'!B67</f>
        <v>12971.1792</v>
      </c>
      <c r="D27" s="58">
        <f>'3 Statement Model'!C67</f>
        <v>28238.733497877973</v>
      </c>
      <c r="E27" s="58">
        <f>'3 Statement Model'!D67</f>
        <v>37505.343885131319</v>
      </c>
      <c r="F27" s="58">
        <f>'3 Statement Model'!E67</f>
        <v>42354.079023595295</v>
      </c>
      <c r="G27" s="58">
        <f>'3 Statement Model'!F67</f>
        <v>43480.184758580297</v>
      </c>
      <c r="H27" s="58">
        <f>'3 Statement Model'!G67</f>
        <v>51919.939002739746</v>
      </c>
      <c r="I27" s="58">
        <f>'3 Statement Model'!H67</f>
        <v>57039.174700273979</v>
      </c>
      <c r="J27" s="58">
        <f>'3 Statement Model'!I67</f>
        <v>62806.092170301381</v>
      </c>
      <c r="K27" s="58">
        <f>'3 Statement Model'!J67</f>
        <v>69149.70138733153</v>
      </c>
      <c r="L27" s="58">
        <f>'3 Statement Model'!K67</f>
        <v>76127.671526064689</v>
      </c>
      <c r="M27" s="58">
        <f>'3 Statement Model'!L67</f>
        <v>83803.438678671169</v>
      </c>
      <c r="N27" s="58">
        <f>'3 Statement Model'!M67</f>
        <v>92246.782546538263</v>
      </c>
      <c r="O27" s="59">
        <f>'3 Statement Model'!N67</f>
        <v>101534.46080119211</v>
      </c>
    </row>
    <row r="28" spans="2:15" ht="35" x14ac:dyDescent="0.45">
      <c r="B28" s="61" t="s">
        <v>84</v>
      </c>
      <c r="C28" s="58">
        <f>'3 Statement Model'!B70</f>
        <v>-15000</v>
      </c>
      <c r="D28" s="58">
        <f>'3 Statement Model'!C70</f>
        <v>-15000</v>
      </c>
      <c r="E28" s="58">
        <f>'3 Statement Model'!D70</f>
        <v>-15000</v>
      </c>
      <c r="F28" s="58">
        <f>'3 Statement Model'!E70</f>
        <v>-15000</v>
      </c>
      <c r="G28" s="58">
        <f>'3 Statement Model'!F70</f>
        <v>-15000</v>
      </c>
      <c r="H28" s="58">
        <f>'3 Statement Model'!G70</f>
        <v>-20526.169999999998</v>
      </c>
      <c r="I28" s="58">
        <f>'3 Statement Model'!H70</f>
        <v>-22389.642000000007</v>
      </c>
      <c r="J28" s="58">
        <f>'3 Statement Model'!I70</f>
        <v>-24628.606200000002</v>
      </c>
      <c r="K28" s="58">
        <f>'3 Statement Model'!J70</f>
        <v>-27091.466820000023</v>
      </c>
      <c r="L28" s="58">
        <f>'3 Statement Model'!K70</f>
        <v>-29800.613502000015</v>
      </c>
      <c r="M28" s="58">
        <f>'3 Statement Model'!L70</f>
        <v>-32780.674852200013</v>
      </c>
      <c r="N28" s="58">
        <f>'3 Statement Model'!M70</f>
        <v>-36058.74233742003</v>
      </c>
      <c r="O28" s="59">
        <f>'3 Statement Model'!N70</f>
        <v>-39664.616571162027</v>
      </c>
    </row>
    <row r="29" spans="2:15" x14ac:dyDescent="0.45">
      <c r="B29" s="57" t="s">
        <v>85</v>
      </c>
      <c r="C29" s="58">
        <f>C27 + C28</f>
        <v>-2028.8207999999995</v>
      </c>
      <c r="D29" s="58">
        <f t="shared" ref="D29:O29" si="4">D27 + D28</f>
        <v>13238.733497877973</v>
      </c>
      <c r="E29" s="58">
        <f t="shared" si="4"/>
        <v>22505.343885131319</v>
      </c>
      <c r="F29" s="58">
        <f t="shared" si="4"/>
        <v>27354.079023595295</v>
      </c>
      <c r="G29" s="58">
        <f t="shared" si="4"/>
        <v>28480.184758580297</v>
      </c>
      <c r="H29" s="58">
        <f t="shared" si="4"/>
        <v>31393.769002739748</v>
      </c>
      <c r="I29" s="58">
        <f t="shared" si="4"/>
        <v>34649.532700273972</v>
      </c>
      <c r="J29" s="58">
        <f t="shared" si="4"/>
        <v>38177.485970301379</v>
      </c>
      <c r="K29" s="58">
        <f t="shared" si="4"/>
        <v>42058.234567331507</v>
      </c>
      <c r="L29" s="58">
        <f t="shared" si="4"/>
        <v>46327.058024064674</v>
      </c>
      <c r="M29" s="58">
        <f t="shared" si="4"/>
        <v>51022.763826471157</v>
      </c>
      <c r="N29" s="58">
        <f t="shared" si="4"/>
        <v>56188.040209118233</v>
      </c>
      <c r="O29" s="59">
        <f t="shared" si="4"/>
        <v>61869.844230030081</v>
      </c>
    </row>
    <row r="30" spans="2:15" x14ac:dyDescent="0.45">
      <c r="B30" s="60" t="s">
        <v>91</v>
      </c>
      <c r="C30" s="58">
        <f>C29</f>
        <v>-2028.8207999999995</v>
      </c>
      <c r="D30" s="58">
        <f t="shared" ref="D30:G30" si="5">D29</f>
        <v>13238.733497877973</v>
      </c>
      <c r="E30" s="58">
        <f t="shared" si="5"/>
        <v>22505.343885131319</v>
      </c>
      <c r="F30" s="58">
        <f t="shared" si="5"/>
        <v>27354.079023595295</v>
      </c>
      <c r="G30" s="58">
        <f t="shared" si="5"/>
        <v>28480.184758580297</v>
      </c>
      <c r="H30" s="67" t="e">
        <f>NA()</f>
        <v>#N/A</v>
      </c>
      <c r="I30" s="67" t="e">
        <f>NA()</f>
        <v>#N/A</v>
      </c>
      <c r="J30" s="67" t="e">
        <f>NA()</f>
        <v>#N/A</v>
      </c>
      <c r="K30" s="67" t="e">
        <f>NA()</f>
        <v>#N/A</v>
      </c>
      <c r="L30" s="67" t="e">
        <f>NA()</f>
        <v>#N/A</v>
      </c>
      <c r="M30" s="67" t="e">
        <f>NA()</f>
        <v>#N/A</v>
      </c>
      <c r="N30" s="67" t="e">
        <f>NA()</f>
        <v>#N/A</v>
      </c>
      <c r="O30" s="68" t="e">
        <f>NA()</f>
        <v>#N/A</v>
      </c>
    </row>
    <row r="31" spans="2:15" x14ac:dyDescent="0.45">
      <c r="B31" s="60" t="s">
        <v>92</v>
      </c>
      <c r="C31" s="67" t="e">
        <f>NA()</f>
        <v>#N/A</v>
      </c>
      <c r="D31" s="67" t="e">
        <f>NA()</f>
        <v>#N/A</v>
      </c>
      <c r="E31" s="67" t="e">
        <f>NA()</f>
        <v>#N/A</v>
      </c>
      <c r="F31" s="67" t="e">
        <f>NA()</f>
        <v>#N/A</v>
      </c>
      <c r="G31" s="67" t="e">
        <f>NA()</f>
        <v>#N/A</v>
      </c>
      <c r="H31" s="58">
        <f>H29</f>
        <v>31393.769002739748</v>
      </c>
      <c r="I31" s="58">
        <f t="shared" ref="I31:O31" si="6">I29</f>
        <v>34649.532700273972</v>
      </c>
      <c r="J31" s="58">
        <f t="shared" si="6"/>
        <v>38177.485970301379</v>
      </c>
      <c r="K31" s="58">
        <f t="shared" si="6"/>
        <v>42058.234567331507</v>
      </c>
      <c r="L31" s="58">
        <f t="shared" si="6"/>
        <v>46327.058024064674</v>
      </c>
      <c r="M31" s="58">
        <f t="shared" si="6"/>
        <v>51022.763826471157</v>
      </c>
      <c r="N31" s="58">
        <f t="shared" si="6"/>
        <v>56188.040209118233</v>
      </c>
      <c r="O31" s="59">
        <f t="shared" si="6"/>
        <v>61869.844230030081</v>
      </c>
    </row>
    <row r="32" spans="2:15" x14ac:dyDescent="0.45">
      <c r="B32" s="57" t="s">
        <v>86</v>
      </c>
      <c r="C32" s="62">
        <f>IFERROR(C23/C20,0)</f>
        <v>0.25090434970149106</v>
      </c>
      <c r="D32" s="62">
        <f t="shared" ref="D32:O32" si="7">IFERROR(D23/D20,0)</f>
        <v>0.31586301509069659</v>
      </c>
      <c r="E32" s="62">
        <f t="shared" si="7"/>
        <v>0.36745212988693898</v>
      </c>
      <c r="F32" s="62">
        <f t="shared" si="7"/>
        <v>0.38685269880076717</v>
      </c>
      <c r="G32" s="62">
        <f t="shared" si="7"/>
        <v>0.37676093704401348</v>
      </c>
      <c r="H32" s="62">
        <f t="shared" si="7"/>
        <v>0.4200000000000001</v>
      </c>
      <c r="I32" s="62">
        <f t="shared" si="7"/>
        <v>0.42</v>
      </c>
      <c r="J32" s="62">
        <f t="shared" si="7"/>
        <v>0.42</v>
      </c>
      <c r="K32" s="62">
        <f t="shared" si="7"/>
        <v>0.42000000000000004</v>
      </c>
      <c r="L32" s="62">
        <f t="shared" si="7"/>
        <v>0.42</v>
      </c>
      <c r="M32" s="62">
        <f t="shared" si="7"/>
        <v>0.42000000000000004</v>
      </c>
      <c r="N32" s="62">
        <f t="shared" si="7"/>
        <v>0.41999999999999987</v>
      </c>
      <c r="O32" s="63">
        <f t="shared" si="7"/>
        <v>0.41999999999999993</v>
      </c>
    </row>
    <row r="33" spans="2:15" ht="18" thickBot="1" x14ac:dyDescent="0.5">
      <c r="B33" s="64" t="s">
        <v>87</v>
      </c>
      <c r="C33" s="65">
        <f>IFERROR(C29/C20,0)</f>
        <v>-1.9889035066220941E-2</v>
      </c>
      <c r="D33" s="65">
        <f t="shared" ref="D33:O33" si="8">IFERROR(D29/D20,0)</f>
        <v>0.11211094878205691</v>
      </c>
      <c r="E33" s="65">
        <f t="shared" si="8"/>
        <v>0.17134526540889503</v>
      </c>
      <c r="F33" s="65">
        <f t="shared" si="8"/>
        <v>0.19217287375805492</v>
      </c>
      <c r="G33" s="65">
        <f t="shared" si="8"/>
        <v>0.188895715110102</v>
      </c>
      <c r="H33" s="65">
        <f t="shared" si="8"/>
        <v>0.18929104875235905</v>
      </c>
      <c r="I33" s="65">
        <f t="shared" si="8"/>
        <v>0.18992901492480666</v>
      </c>
      <c r="J33" s="65">
        <f t="shared" si="8"/>
        <v>0.19024295141471728</v>
      </c>
      <c r="K33" s="65">
        <f t="shared" si="8"/>
        <v>0.19052834822372683</v>
      </c>
      <c r="L33" s="65">
        <f t="shared" si="8"/>
        <v>0.19078779986828109</v>
      </c>
      <c r="M33" s="65">
        <f t="shared" si="8"/>
        <v>0.19102366499969406</v>
      </c>
      <c r="N33" s="65">
        <f t="shared" si="8"/>
        <v>0.19123808784643292</v>
      </c>
      <c r="O33" s="66">
        <f t="shared" si="8"/>
        <v>0.19143301770710483</v>
      </c>
    </row>
  </sheetData>
  <mergeCells count="8">
    <mergeCell ref="B2:C2"/>
    <mergeCell ref="E2:G2"/>
    <mergeCell ref="I2:K2"/>
    <mergeCell ref="M2:N2"/>
    <mergeCell ref="M3:N3"/>
    <mergeCell ref="M4:N4"/>
    <mergeCell ref="E3:F3"/>
    <mergeCell ref="I3:J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Data</vt:lpstr>
      <vt:lpstr>3 Statement Model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Festus Awudey</dc:creator>
  <cp:lastModifiedBy>Jessica Kankam</cp:lastModifiedBy>
  <dcterms:created xsi:type="dcterms:W3CDTF">2023-06-18T01:15:42Z</dcterms:created>
  <dcterms:modified xsi:type="dcterms:W3CDTF">2026-01-27T05:28:42Z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2023-06-18T01:56:14Z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f067c375-7502-480b-8433-866891424c24</vt:lpwstr>
  </property>
  <property fmtid="{D5CDD505-2E9C-101B-9397-08002B2CF9AE}" pid="7" name="MSIP_Label_defa4170-0d19-0005-0004-bc88714345d2_ActionId">
    <vt:lpwstr>35ff2b5d-8f25-4351-9682-9774c77a60f9</vt:lpwstr>
  </property>
  <property fmtid="{D5CDD505-2E9C-101B-9397-08002B2CF9AE}" pid="8" name="MSIP_Label_defa4170-0d19-0005-0004-bc88714345d2_ContentBits">
    <vt:lpwstr>0</vt:lpwstr>
  </property>
</Properties>
</file>